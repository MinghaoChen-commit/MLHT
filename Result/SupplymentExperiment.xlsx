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inghao Chen\Desktop\TMM-R2\"/>
    </mc:Choice>
  </mc:AlternateContent>
  <xr:revisionPtr revIDLastSave="0" documentId="13_ncr:1_{E7D4528B-AF8F-4DCB-933B-F941379CB30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le V Detection Results" sheetId="1" r:id="rId1"/>
    <sheet name="Sheet1" sheetId="2" r:id="rId2"/>
  </sheets>
  <definedNames>
    <definedName name="_xlnm.Print_Area" localSheetId="1">Sheet1!$A$1:$H$82</definedName>
    <definedName name="_xlnm.Print_Area" localSheetId="0">'Table V Detection Results'!$A$1:$O$78</definedName>
    <definedName name="_xlnm.Print_Titles" localSheetId="1">Sheet1!$2:$2</definedName>
    <definedName name="_xlnm.Print_Titles" localSheetId="0">'Table V Detection Results'!$2:$2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3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<sst xmlns="http://schemas.openxmlformats.org/spreadsheetml/2006/main" count="197" uniqueCount="56">
  <si>
    <t>Dataset</t>
  </si>
  <si>
    <t>Method</t>
  </si>
  <si>
    <t>HOTA</t>
  </si>
  <si>
    <t>AssA</t>
  </si>
  <si>
    <t>DetA</t>
  </si>
  <si>
    <t>MOTA</t>
  </si>
  <si>
    <t>IDF1</t>
  </si>
  <si>
    <t>Recall</t>
  </si>
  <si>
    <t>MT</t>
  </si>
  <si>
    <t>ML</t>
  </si>
  <si>
    <t>FM</t>
  </si>
  <si>
    <t>FPS</t>
  </si>
  <si>
    <t>FairMOT</t>
  </si>
  <si>
    <t>MHT*</t>
  </si>
  <si>
    <t>SORT</t>
  </si>
  <si>
    <t>ByteTrack</t>
  </si>
  <si>
    <t>SCGTrack*</t>
  </si>
  <si>
    <t>Hybrid-SORT*</t>
  </si>
  <si>
    <t>UCMCTrack*</t>
  </si>
  <si>
    <t>SUSHI</t>
  </si>
  <si>
    <t>DiffMOT</t>
  </si>
  <si>
    <t>MLHT (Ours)</t>
  </si>
  <si>
    <t>SoccerNet</t>
  </si>
  <si>
    <t>DanceTrack</t>
  </si>
  <si>
    <t>RESULTS ON DIFFERENT BENCHMARKS DETECTION</t>
    <phoneticPr fontId="1" type="noConversion"/>
  </si>
  <si>
    <t>YOLOV5</t>
    <phoneticPr fontId="1" type="noConversion"/>
  </si>
  <si>
    <t>Model</t>
    <phoneticPr fontId="1" type="noConversion"/>
  </si>
  <si>
    <t>Size</t>
    <phoneticPr fontId="1" type="noConversion"/>
  </si>
  <si>
    <t>S</t>
    <phoneticPr fontId="1" type="noConversion"/>
  </si>
  <si>
    <t>M</t>
    <phoneticPr fontId="1" type="noConversion"/>
  </si>
  <si>
    <t>Method</t>
    <phoneticPr fontId="1" type="noConversion"/>
  </si>
  <si>
    <t>HOTA</t>
    <phoneticPr fontId="1" type="noConversion"/>
  </si>
  <si>
    <t>AssA</t>
    <phoneticPr fontId="1" type="noConversion"/>
  </si>
  <si>
    <t>DetA</t>
    <phoneticPr fontId="1" type="noConversion"/>
  </si>
  <si>
    <t>MOTA</t>
    <phoneticPr fontId="1" type="noConversion"/>
  </si>
  <si>
    <t>FPS</t>
    <phoneticPr fontId="1" type="noConversion"/>
  </si>
  <si>
    <t>YOLOV8</t>
    <phoneticPr fontId="1" type="noConversion"/>
  </si>
  <si>
    <t>DETECTION AND TRACKING PERFORMANCE OF DIFFERENT DETECTORS RESULTS ON GMOT40</t>
    <phoneticPr fontId="1" type="noConversion"/>
  </si>
  <si>
    <t>YOLO11</t>
    <phoneticPr fontId="1" type="noConversion"/>
  </si>
  <si>
    <r>
      <rPr>
        <sz val="11"/>
        <color theme="1"/>
        <rFont val="Segoe UI Symbol"/>
        <family val="1"/>
      </rPr>
      <t>▪</t>
    </r>
    <r>
      <rPr>
        <sz val="11"/>
        <color theme="1"/>
        <rFont val="Times New Roman"/>
        <family val="1"/>
      </rPr>
      <t>Memory usage indicates the measured peak memory utilization.</t>
    </r>
    <phoneticPr fontId="1" type="noConversion"/>
  </si>
  <si>
    <t>YOLOX</t>
    <phoneticPr fontId="1" type="noConversion"/>
  </si>
  <si>
    <t>OC-SORT</t>
  </si>
  <si>
    <t>OC-SORT</t>
    <phoneticPr fontId="1" type="noConversion"/>
  </si>
  <si>
    <t>PD-SORT</t>
  </si>
  <si>
    <t>PD-SORT</t>
    <phoneticPr fontId="1" type="noConversion"/>
  </si>
  <si>
    <t>MOTR</t>
  </si>
  <si>
    <t>MOTR</t>
    <phoneticPr fontId="1" type="noConversion"/>
  </si>
  <si>
    <t>MOTRv2</t>
  </si>
  <si>
    <t>MOTRv2</t>
    <phoneticPr fontId="1" type="noConversion"/>
  </si>
  <si>
    <t>MOTIP</t>
  </si>
  <si>
    <t>MOTIP</t>
    <phoneticPr fontId="1" type="noConversion"/>
  </si>
  <si>
    <t>GMOT40</t>
    <phoneticPr fontId="1" type="noConversion"/>
  </si>
  <si>
    <t>Prcn</t>
    <phoneticPr fontId="1" type="noConversion"/>
  </si>
  <si>
    <t>IDs</t>
    <phoneticPr fontId="1" type="noConversion"/>
  </si>
  <si>
    <t>MOT17</t>
    <phoneticPr fontId="1" type="noConversion"/>
  </si>
  <si>
    <r>
      <t>MemoryUse</t>
    </r>
    <r>
      <rPr>
        <sz val="11"/>
        <color theme="1"/>
        <rFont val="Times New Roman"/>
        <family val="2"/>
      </rPr>
      <t>▪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</si>
</sst>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Segoe UI Symbol"/>
      <family val="1"/>
    </font>
    <font>
      <sz val="11"/>
      <name val="Times New Roman"/>
      <family val="1"/>
    </font>
    <font>
      <sz val="11"/>
      <color theme="1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177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76" fontId="2" fillId="2" borderId="2" xfId="0" applyNumberFormat="1" applyFont="1" applyFill="1" applyBorder="1" applyAlignment="1">
      <alignment horizontal="center"/>
    </xf>
    <xf numFmtId="177" fontId="2" fillId="2" borderId="2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76" fontId="2" fillId="3" borderId="3" xfId="0" applyNumberFormat="1" applyFont="1" applyFill="1" applyBorder="1" applyAlignment="1">
      <alignment horizontal="center"/>
    </xf>
    <xf numFmtId="177" fontId="2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6" fontId="2" fillId="3" borderId="1" xfId="0" applyNumberFormat="1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76" fontId="2" fillId="3" borderId="2" xfId="0" applyNumberFormat="1" applyFont="1" applyFill="1" applyBorder="1" applyAlignment="1">
      <alignment horizontal="center"/>
    </xf>
    <xf numFmtId="177" fontId="2" fillId="3" borderId="2" xfId="0" applyNumberFormat="1" applyFont="1" applyFill="1" applyBorder="1" applyAlignment="1">
      <alignment horizontal="center"/>
    </xf>
    <xf numFmtId="176" fontId="2" fillId="2" borderId="3" xfId="0" applyNumberFormat="1" applyFont="1" applyFill="1" applyBorder="1" applyAlignment="1">
      <alignment horizontal="center"/>
    </xf>
    <xf numFmtId="177" fontId="2" fillId="2" borderId="3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76" fontId="2" fillId="2" borderId="4" xfId="0" applyNumberFormat="1" applyFont="1" applyFill="1" applyBorder="1" applyAlignment="1">
      <alignment horizontal="center"/>
    </xf>
    <xf numFmtId="177" fontId="2" fillId="2" borderId="4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5" fillId="2" borderId="2" xfId="0" applyFont="1" applyFill="1" applyBorder="1" applyAlignment="1">
      <alignment horizontal="center"/>
    </xf>
    <xf numFmtId="176" fontId="5" fillId="2" borderId="2" xfId="0" applyNumberFormat="1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176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76" fontId="5" fillId="2" borderId="3" xfId="0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176" fontId="5" fillId="3" borderId="4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76" fontId="5" fillId="3" borderId="1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176" fontId="5" fillId="3" borderId="2" xfId="0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176" fontId="5" fillId="3" borderId="3" xfId="0" applyNumberFormat="1" applyFont="1" applyFill="1" applyBorder="1" applyAlignment="1">
      <alignment horizontal="center"/>
    </xf>
    <xf numFmtId="176" fontId="5" fillId="2" borderId="4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76" fontId="2" fillId="2" borderId="8" xfId="0" applyNumberFormat="1" applyFont="1" applyFill="1" applyBorder="1" applyAlignment="1">
      <alignment horizontal="center"/>
    </xf>
    <xf numFmtId="177" fontId="2" fillId="2" borderId="8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176" fontId="2" fillId="3" borderId="8" xfId="0" applyNumberFormat="1" applyFont="1" applyFill="1" applyBorder="1" applyAlignment="1">
      <alignment horizontal="center"/>
    </xf>
    <xf numFmtId="177" fontId="2" fillId="3" borderId="8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"/>
  <sheetViews>
    <sheetView tabSelected="1" topLeftCell="A55" zoomScale="115" zoomScaleNormal="115" workbookViewId="0">
      <selection activeCell="A63" sqref="A63:O77"/>
    </sheetView>
  </sheetViews>
  <sheetFormatPr defaultRowHeight="14" x14ac:dyDescent="0.25"/>
  <cols>
    <col min="1" max="1" width="9.6328125" customWidth="1"/>
    <col min="2" max="2" width="12.08984375" customWidth="1"/>
    <col min="3" max="14" width="7.6328125" customWidth="1"/>
    <col min="15" max="15" width="13.7265625" customWidth="1"/>
  </cols>
  <sheetData>
    <row r="1" spans="1:15" ht="15" thickBot="1" x14ac:dyDescent="0.35">
      <c r="A1" s="47" t="s">
        <v>24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1:15" ht="15" thickBot="1" x14ac:dyDescent="0.35">
      <c r="A2" s="21" t="s">
        <v>0</v>
      </c>
      <c r="B2" s="21" t="s">
        <v>1</v>
      </c>
      <c r="C2" s="21" t="s">
        <v>2</v>
      </c>
      <c r="D2" s="21" t="s">
        <v>3</v>
      </c>
      <c r="E2" s="21" t="s">
        <v>4</v>
      </c>
      <c r="F2" s="21" t="s">
        <v>5</v>
      </c>
      <c r="G2" s="21" t="s">
        <v>6</v>
      </c>
      <c r="H2" s="21" t="s">
        <v>7</v>
      </c>
      <c r="I2" s="21" t="s">
        <v>52</v>
      </c>
      <c r="J2" s="21" t="s">
        <v>8</v>
      </c>
      <c r="K2" s="21" t="s">
        <v>9</v>
      </c>
      <c r="L2" s="21" t="s">
        <v>53</v>
      </c>
      <c r="M2" s="21" t="s">
        <v>10</v>
      </c>
      <c r="N2" s="21" t="s">
        <v>11</v>
      </c>
      <c r="O2" s="21" t="s">
        <v>55</v>
      </c>
    </row>
    <row r="3" spans="1:15" ht="14.5" x14ac:dyDescent="0.3">
      <c r="A3" s="49" cm="1">
        <f t="array" aca="1" ref="A3" ca="1">A3:O774</f>
        <v>0</v>
      </c>
      <c r="B3" s="18" t="s">
        <v>12</v>
      </c>
      <c r="C3" s="16">
        <v>71.760000000000005</v>
      </c>
      <c r="D3" s="16">
        <v>61.26</v>
      </c>
      <c r="E3" s="16">
        <v>84.49</v>
      </c>
      <c r="F3" s="16">
        <v>91.92</v>
      </c>
      <c r="G3" s="16">
        <v>53.46</v>
      </c>
      <c r="H3" s="16">
        <v>96.16</v>
      </c>
      <c r="I3" s="16">
        <v>99.98</v>
      </c>
      <c r="J3" s="17">
        <v>887</v>
      </c>
      <c r="K3" s="17">
        <v>121</v>
      </c>
      <c r="L3" s="17">
        <v>7091</v>
      </c>
      <c r="M3" s="17">
        <v>2533</v>
      </c>
      <c r="N3" s="16">
        <v>18.02</v>
      </c>
      <c r="O3" s="16">
        <v>3.64</v>
      </c>
    </row>
    <row r="4" spans="1:15" ht="14.5" x14ac:dyDescent="0.3">
      <c r="A4" s="50"/>
      <c r="B4" s="1" t="s">
        <v>13</v>
      </c>
      <c r="C4" s="2">
        <v>57</v>
      </c>
      <c r="D4" s="2">
        <v>38.590000000000003</v>
      </c>
      <c r="E4" s="2">
        <v>84.81</v>
      </c>
      <c r="F4" s="2">
        <v>87.89</v>
      </c>
      <c r="G4" s="2">
        <v>53.21</v>
      </c>
      <c r="H4" s="2">
        <v>95.28</v>
      </c>
      <c r="I4" s="2">
        <v>96.24</v>
      </c>
      <c r="J4" s="3">
        <v>935</v>
      </c>
      <c r="K4" s="3">
        <v>128</v>
      </c>
      <c r="L4" s="3">
        <v>6173</v>
      </c>
      <c r="M4" s="3">
        <v>2291</v>
      </c>
      <c r="N4" s="2">
        <v>4.12</v>
      </c>
      <c r="O4" s="2">
        <v>6.82</v>
      </c>
    </row>
    <row r="5" spans="1:15" ht="14.5" x14ac:dyDescent="0.3">
      <c r="A5" s="50"/>
      <c r="B5" s="1" t="s">
        <v>14</v>
      </c>
      <c r="C5" s="2">
        <v>55.3</v>
      </c>
      <c r="D5" s="2">
        <v>36.42</v>
      </c>
      <c r="E5" s="2">
        <v>84.42</v>
      </c>
      <c r="F5" s="2">
        <v>88.9</v>
      </c>
      <c r="G5" s="2">
        <v>82.31</v>
      </c>
      <c r="H5" s="2">
        <v>90.43</v>
      </c>
      <c r="I5" s="2">
        <v>98.78</v>
      </c>
      <c r="J5" s="3">
        <v>704</v>
      </c>
      <c r="K5" s="3">
        <v>350</v>
      </c>
      <c r="L5" s="3">
        <v>687</v>
      </c>
      <c r="M5" s="3">
        <v>737</v>
      </c>
      <c r="N5" s="2">
        <v>440.11</v>
      </c>
      <c r="O5" s="2">
        <v>4.91</v>
      </c>
    </row>
    <row r="6" spans="1:15" ht="14.5" x14ac:dyDescent="0.3">
      <c r="A6" s="50"/>
      <c r="B6" s="1" t="s">
        <v>15</v>
      </c>
      <c r="C6" s="2">
        <v>77.790000000000006</v>
      </c>
      <c r="D6" s="2">
        <v>79.430000000000007</v>
      </c>
      <c r="E6" s="2">
        <v>76.739999999999995</v>
      </c>
      <c r="F6" s="2">
        <v>92.55</v>
      </c>
      <c r="G6" s="2">
        <v>80.69</v>
      </c>
      <c r="H6" s="2">
        <v>95.04</v>
      </c>
      <c r="I6" s="2">
        <v>97.89</v>
      </c>
      <c r="J6" s="3">
        <v>831</v>
      </c>
      <c r="K6" s="3">
        <v>246</v>
      </c>
      <c r="L6" s="3">
        <v>736</v>
      </c>
      <c r="M6" s="3">
        <v>1428</v>
      </c>
      <c r="N6" s="2">
        <v>5.38</v>
      </c>
      <c r="O6" s="2">
        <v>5.2</v>
      </c>
    </row>
    <row r="7" spans="1:15" ht="14.5" x14ac:dyDescent="0.3">
      <c r="A7" s="50"/>
      <c r="B7" s="1" t="s">
        <v>16</v>
      </c>
      <c r="C7" s="2">
        <v>70.89</v>
      </c>
      <c r="D7" s="2">
        <v>59.03</v>
      </c>
      <c r="E7" s="2">
        <v>86.04</v>
      </c>
      <c r="F7" s="2">
        <v>89.01</v>
      </c>
      <c r="G7" s="2">
        <v>67.63</v>
      </c>
      <c r="H7" s="2">
        <v>95.34</v>
      </c>
      <c r="I7" s="2">
        <v>96.5</v>
      </c>
      <c r="J7" s="3">
        <v>973</v>
      </c>
      <c r="K7" s="3">
        <v>174</v>
      </c>
      <c r="L7" s="3">
        <v>4834</v>
      </c>
      <c r="M7" s="3">
        <v>1671</v>
      </c>
      <c r="N7" s="2">
        <v>5.0599999999999996</v>
      </c>
      <c r="O7" s="2">
        <v>5.84</v>
      </c>
    </row>
    <row r="8" spans="1:15" ht="14.5" x14ac:dyDescent="0.3">
      <c r="A8" s="50"/>
      <c r="B8" s="1" t="s">
        <v>17</v>
      </c>
      <c r="C8" s="2">
        <v>73.25</v>
      </c>
      <c r="D8" s="2">
        <v>59.69</v>
      </c>
      <c r="E8" s="2">
        <v>90.82</v>
      </c>
      <c r="F8" s="2">
        <v>94.59</v>
      </c>
      <c r="G8" s="2">
        <v>70.069999999999993</v>
      </c>
      <c r="H8" s="2">
        <v>97.51</v>
      </c>
      <c r="I8" s="2">
        <v>99.98</v>
      </c>
      <c r="J8" s="3">
        <v>1037</v>
      </c>
      <c r="K8" s="3">
        <v>320</v>
      </c>
      <c r="L8" s="3">
        <v>4873</v>
      </c>
      <c r="M8" s="3">
        <v>1668</v>
      </c>
      <c r="N8" s="2">
        <v>43.14</v>
      </c>
      <c r="O8" s="2">
        <v>6.07</v>
      </c>
    </row>
    <row r="9" spans="1:15" ht="14.5" x14ac:dyDescent="0.3">
      <c r="A9" s="50"/>
      <c r="B9" s="1" t="s">
        <v>18</v>
      </c>
      <c r="C9" s="2">
        <v>42.66</v>
      </c>
      <c r="D9" s="2">
        <v>23.95</v>
      </c>
      <c r="E9" s="2">
        <v>76</v>
      </c>
      <c r="F9" s="2">
        <v>68.94</v>
      </c>
      <c r="G9" s="2">
        <v>35.049999999999997</v>
      </c>
      <c r="H9" s="2">
        <v>92.24</v>
      </c>
      <c r="I9" s="2">
        <v>84.56</v>
      </c>
      <c r="J9" s="3">
        <v>952</v>
      </c>
      <c r="K9" s="3">
        <v>70</v>
      </c>
      <c r="L9" s="3">
        <v>10856</v>
      </c>
      <c r="M9" s="3">
        <v>3253</v>
      </c>
      <c r="N9" s="2">
        <v>5.71</v>
      </c>
      <c r="O9" s="2">
        <v>5.53</v>
      </c>
    </row>
    <row r="10" spans="1:15" ht="14.5" x14ac:dyDescent="0.3">
      <c r="A10" s="50"/>
      <c r="B10" s="1" t="s">
        <v>19</v>
      </c>
      <c r="C10" s="2">
        <v>73.48</v>
      </c>
      <c r="D10" s="2">
        <v>61.29</v>
      </c>
      <c r="E10" s="2">
        <v>88.97</v>
      </c>
      <c r="F10" s="2">
        <v>95.21</v>
      </c>
      <c r="G10" s="2">
        <v>55.72</v>
      </c>
      <c r="H10" s="2">
        <v>96.4</v>
      </c>
      <c r="I10" s="2">
        <v>99.56</v>
      </c>
      <c r="J10" s="3">
        <v>1024</v>
      </c>
      <c r="K10" s="3">
        <v>103</v>
      </c>
      <c r="L10" s="3">
        <v>1289</v>
      </c>
      <c r="M10" s="3">
        <v>708</v>
      </c>
      <c r="N10" s="2"/>
      <c r="O10" s="2">
        <v>8.73</v>
      </c>
    </row>
    <row r="11" spans="1:15" ht="14.5" x14ac:dyDescent="0.3">
      <c r="A11" s="50"/>
      <c r="B11" s="1" t="s">
        <v>20</v>
      </c>
      <c r="C11" s="2">
        <v>71.62</v>
      </c>
      <c r="D11" s="2">
        <v>59.09</v>
      </c>
      <c r="E11" s="2">
        <v>87.75</v>
      </c>
      <c r="F11" s="2">
        <v>91.27</v>
      </c>
      <c r="G11" s="2">
        <v>68.400000000000006</v>
      </c>
      <c r="H11" s="2">
        <v>95.32</v>
      </c>
      <c r="I11" s="2">
        <v>98.78</v>
      </c>
      <c r="J11" s="3">
        <v>973</v>
      </c>
      <c r="K11" s="3">
        <v>180</v>
      </c>
      <c r="L11" s="3">
        <v>4826</v>
      </c>
      <c r="M11" s="3">
        <v>1662</v>
      </c>
      <c r="N11" s="2"/>
      <c r="O11" s="2">
        <v>7.62</v>
      </c>
    </row>
    <row r="12" spans="1:15" ht="14.5" x14ac:dyDescent="0.3">
      <c r="A12" s="51"/>
      <c r="B12" s="41" t="s">
        <v>42</v>
      </c>
      <c r="C12" s="42">
        <v>72.63</v>
      </c>
      <c r="D12" s="42">
        <v>61.91</v>
      </c>
      <c r="E12" s="42">
        <v>85.21</v>
      </c>
      <c r="F12" s="42">
        <v>91.08</v>
      </c>
      <c r="G12" s="42">
        <v>58.66</v>
      </c>
      <c r="H12" s="42">
        <v>97.7</v>
      </c>
      <c r="I12" s="42">
        <v>99.98</v>
      </c>
      <c r="J12" s="43">
        <v>1144</v>
      </c>
      <c r="K12" s="43">
        <v>91</v>
      </c>
      <c r="L12" s="43">
        <v>748</v>
      </c>
      <c r="M12" s="43">
        <v>399</v>
      </c>
      <c r="N12" s="42">
        <v>23.86</v>
      </c>
      <c r="O12" s="42">
        <v>5.58</v>
      </c>
    </row>
    <row r="13" spans="1:15" ht="14.5" x14ac:dyDescent="0.3">
      <c r="A13" s="51"/>
      <c r="B13" s="41" t="s">
        <v>44</v>
      </c>
      <c r="C13" s="42">
        <v>72.930000000000007</v>
      </c>
      <c r="D13" s="42">
        <v>57.81</v>
      </c>
      <c r="E13" s="42">
        <v>92.02</v>
      </c>
      <c r="F13" s="42">
        <v>90.75</v>
      </c>
      <c r="G13" s="42">
        <v>68.23</v>
      </c>
      <c r="H13" s="42">
        <v>92.36</v>
      </c>
      <c r="I13" s="42">
        <v>99.98</v>
      </c>
      <c r="J13" s="43">
        <v>1092</v>
      </c>
      <c r="K13" s="43">
        <v>92</v>
      </c>
      <c r="L13" s="43">
        <v>577</v>
      </c>
      <c r="M13" s="43">
        <v>552</v>
      </c>
      <c r="N13" s="42">
        <v>45.27</v>
      </c>
      <c r="O13" s="42">
        <v>5.93</v>
      </c>
    </row>
    <row r="14" spans="1:15" ht="14.5" x14ac:dyDescent="0.3">
      <c r="A14" s="51"/>
      <c r="B14" s="41" t="s">
        <v>46</v>
      </c>
      <c r="C14" s="42">
        <v>71.510000000000005</v>
      </c>
      <c r="D14" s="42">
        <v>59.55</v>
      </c>
      <c r="E14" s="42">
        <v>86.77</v>
      </c>
      <c r="F14" s="42">
        <v>89.71</v>
      </c>
      <c r="G14" s="42">
        <v>68.209999999999994</v>
      </c>
      <c r="H14" s="42">
        <v>96.39</v>
      </c>
      <c r="I14" s="42">
        <v>96.19</v>
      </c>
      <c r="J14" s="43">
        <v>1034</v>
      </c>
      <c r="K14" s="43">
        <v>120</v>
      </c>
      <c r="L14" s="43">
        <v>1952</v>
      </c>
      <c r="M14" s="43">
        <v>1667</v>
      </c>
      <c r="N14" s="42"/>
      <c r="O14" s="42">
        <v>9.84</v>
      </c>
    </row>
    <row r="15" spans="1:15" ht="14.5" x14ac:dyDescent="0.3">
      <c r="A15" s="51"/>
      <c r="B15" s="41" t="s">
        <v>48</v>
      </c>
      <c r="C15" s="42">
        <v>73.72</v>
      </c>
      <c r="D15" s="42">
        <v>60.41</v>
      </c>
      <c r="E15" s="42">
        <v>90.89</v>
      </c>
      <c r="F15" s="42">
        <v>94.69</v>
      </c>
      <c r="G15" s="42">
        <v>70.540000000000006</v>
      </c>
      <c r="H15" s="42">
        <v>97.57</v>
      </c>
      <c r="I15" s="42">
        <v>99.98</v>
      </c>
      <c r="J15" s="43">
        <v>1062</v>
      </c>
      <c r="K15" s="43">
        <v>97</v>
      </c>
      <c r="L15" s="43">
        <v>1915</v>
      </c>
      <c r="M15" s="43">
        <v>1663</v>
      </c>
      <c r="N15" s="42"/>
      <c r="O15" s="42">
        <v>10.92</v>
      </c>
    </row>
    <row r="16" spans="1:15" ht="14.5" x14ac:dyDescent="0.3">
      <c r="A16" s="51"/>
      <c r="B16" s="41" t="s">
        <v>50</v>
      </c>
      <c r="C16" s="42">
        <v>76.47</v>
      </c>
      <c r="D16" s="42">
        <v>69.89</v>
      </c>
      <c r="E16" s="42">
        <v>90.89</v>
      </c>
      <c r="F16" s="42">
        <v>94.71</v>
      </c>
      <c r="G16" s="42">
        <v>70.739999999999995</v>
      </c>
      <c r="H16" s="42">
        <v>97.79</v>
      </c>
      <c r="I16" s="42">
        <v>99.99</v>
      </c>
      <c r="J16" s="43">
        <v>1139</v>
      </c>
      <c r="K16" s="43">
        <v>88</v>
      </c>
      <c r="L16" s="43">
        <v>1459</v>
      </c>
      <c r="M16" s="43">
        <v>1915</v>
      </c>
      <c r="N16" s="42"/>
      <c r="O16" s="42">
        <v>11.48</v>
      </c>
    </row>
    <row r="17" spans="1:15" ht="15" thickBot="1" x14ac:dyDescent="0.35">
      <c r="A17" s="52"/>
      <c r="B17" s="4" t="s">
        <v>21</v>
      </c>
      <c r="C17" s="5">
        <v>78.03</v>
      </c>
      <c r="D17" s="5">
        <v>67.180000000000007</v>
      </c>
      <c r="E17" s="5">
        <v>91.53</v>
      </c>
      <c r="F17" s="5">
        <v>96.09</v>
      </c>
      <c r="G17" s="5">
        <v>59.68</v>
      </c>
      <c r="H17" s="5">
        <v>97.71</v>
      </c>
      <c r="I17" s="5">
        <v>99.98</v>
      </c>
      <c r="J17" s="6">
        <v>1147</v>
      </c>
      <c r="K17" s="6">
        <v>80</v>
      </c>
      <c r="L17" s="6">
        <v>1037</v>
      </c>
      <c r="M17" s="6">
        <v>390</v>
      </c>
      <c r="N17" s="5">
        <v>3.74</v>
      </c>
      <c r="O17" s="5">
        <v>7.22</v>
      </c>
    </row>
    <row r="18" spans="1:15" ht="14.5" x14ac:dyDescent="0.3">
      <c r="A18" s="53" t="s">
        <v>22</v>
      </c>
      <c r="B18" s="7" t="s">
        <v>12</v>
      </c>
      <c r="C18" s="8">
        <v>74.41</v>
      </c>
      <c r="D18" s="8">
        <v>63.78</v>
      </c>
      <c r="E18" s="8">
        <v>86.92</v>
      </c>
      <c r="F18" s="8">
        <v>94.34</v>
      </c>
      <c r="G18" s="8">
        <v>73.69</v>
      </c>
      <c r="H18" s="8">
        <v>96.69</v>
      </c>
      <c r="I18" s="8">
        <v>99.8</v>
      </c>
      <c r="J18" s="9">
        <v>1331</v>
      </c>
      <c r="K18" s="9">
        <v>3</v>
      </c>
      <c r="L18" s="9">
        <v>15477</v>
      </c>
      <c r="M18" s="9">
        <v>11584</v>
      </c>
      <c r="N18" s="8">
        <v>34.46</v>
      </c>
      <c r="O18" s="8">
        <v>5.32</v>
      </c>
    </row>
    <row r="19" spans="1:15" ht="14.5" x14ac:dyDescent="0.3">
      <c r="A19" s="54"/>
      <c r="B19" s="10" t="s">
        <v>13</v>
      </c>
      <c r="C19" s="11">
        <v>71.97</v>
      </c>
      <c r="D19" s="11">
        <v>65.02</v>
      </c>
      <c r="E19" s="11">
        <v>80.03</v>
      </c>
      <c r="F19" s="11">
        <v>89.71</v>
      </c>
      <c r="G19" s="11">
        <v>71.55</v>
      </c>
      <c r="H19" s="11">
        <v>93.68</v>
      </c>
      <c r="I19" s="11">
        <v>97.98</v>
      </c>
      <c r="J19" s="12">
        <v>1291</v>
      </c>
      <c r="K19" s="12">
        <v>35</v>
      </c>
      <c r="L19" s="12">
        <v>14021</v>
      </c>
      <c r="M19" s="12">
        <v>10260</v>
      </c>
      <c r="N19" s="11">
        <v>4.68</v>
      </c>
      <c r="O19" s="11">
        <v>9.24</v>
      </c>
    </row>
    <row r="20" spans="1:15" ht="14.5" x14ac:dyDescent="0.3">
      <c r="A20" s="54"/>
      <c r="B20" s="10" t="s">
        <v>14</v>
      </c>
      <c r="C20" s="11">
        <v>76</v>
      </c>
      <c r="D20" s="11">
        <v>65.13</v>
      </c>
      <c r="E20" s="11">
        <v>88.8</v>
      </c>
      <c r="F20" s="11">
        <v>95.08</v>
      </c>
      <c r="G20" s="11">
        <v>74.19</v>
      </c>
      <c r="H20" s="11">
        <v>95.61</v>
      </c>
      <c r="I20" s="11">
        <v>99.93</v>
      </c>
      <c r="J20" s="12">
        <v>1222</v>
      </c>
      <c r="K20" s="12">
        <v>3</v>
      </c>
      <c r="L20" s="12">
        <v>3321</v>
      </c>
      <c r="M20" s="12">
        <v>4442</v>
      </c>
      <c r="N20" s="11">
        <v>465.82</v>
      </c>
      <c r="O20" s="11">
        <v>7.43</v>
      </c>
    </row>
    <row r="21" spans="1:15" ht="14.5" x14ac:dyDescent="0.3">
      <c r="A21" s="54"/>
      <c r="B21" s="10" t="s">
        <v>15</v>
      </c>
      <c r="C21" s="11">
        <v>67.12</v>
      </c>
      <c r="D21" s="11">
        <v>60.9</v>
      </c>
      <c r="E21" s="11">
        <v>74.28</v>
      </c>
      <c r="F21" s="11">
        <v>84.62</v>
      </c>
      <c r="G21" s="11">
        <v>75.02</v>
      </c>
      <c r="H21" s="11">
        <v>91.51</v>
      </c>
      <c r="I21" s="11">
        <v>93.64</v>
      </c>
      <c r="J21" s="12">
        <v>1220</v>
      </c>
      <c r="K21" s="12">
        <v>1</v>
      </c>
      <c r="L21" s="12">
        <v>4880</v>
      </c>
      <c r="M21" s="12">
        <v>20868</v>
      </c>
      <c r="N21" s="11">
        <v>4.8600000000000003</v>
      </c>
      <c r="O21" s="11">
        <v>7.7809999999999997</v>
      </c>
    </row>
    <row r="22" spans="1:15" ht="14.5" x14ac:dyDescent="0.3">
      <c r="A22" s="54"/>
      <c r="B22" s="10" t="s">
        <v>16</v>
      </c>
      <c r="C22" s="11">
        <v>76.42</v>
      </c>
      <c r="D22" s="11">
        <v>65.22</v>
      </c>
      <c r="E22" s="11">
        <v>89.68</v>
      </c>
      <c r="F22" s="11">
        <v>93.64</v>
      </c>
      <c r="G22" s="11">
        <v>76.75</v>
      </c>
      <c r="H22" s="11">
        <v>95.43</v>
      </c>
      <c r="I22" s="11">
        <v>96.3</v>
      </c>
      <c r="J22" s="12">
        <v>1339</v>
      </c>
      <c r="K22" s="12">
        <v>7</v>
      </c>
      <c r="L22" s="12">
        <v>2904</v>
      </c>
      <c r="M22" s="12">
        <v>2419</v>
      </c>
      <c r="N22" s="11">
        <v>5.52</v>
      </c>
      <c r="O22" s="11">
        <v>8.41</v>
      </c>
    </row>
    <row r="23" spans="1:15" ht="14.5" x14ac:dyDescent="0.3">
      <c r="A23" s="54"/>
      <c r="B23" s="10" t="s">
        <v>17</v>
      </c>
      <c r="C23" s="11">
        <v>77.59</v>
      </c>
      <c r="D23" s="11">
        <v>67.42</v>
      </c>
      <c r="E23" s="11">
        <v>89.43</v>
      </c>
      <c r="F23" s="11">
        <v>94.97</v>
      </c>
      <c r="G23" s="11">
        <v>75.72</v>
      </c>
      <c r="H23" s="11">
        <v>95.69</v>
      </c>
      <c r="I23" s="11">
        <v>99.73</v>
      </c>
      <c r="J23" s="12">
        <v>1336</v>
      </c>
      <c r="K23" s="12">
        <v>8</v>
      </c>
      <c r="L23" s="12">
        <v>3286</v>
      </c>
      <c r="M23" s="12">
        <v>2877</v>
      </c>
      <c r="N23" s="11">
        <v>34.380000000000003</v>
      </c>
      <c r="O23" s="11">
        <v>8.64</v>
      </c>
    </row>
    <row r="24" spans="1:15" ht="14.5" x14ac:dyDescent="0.3">
      <c r="A24" s="54"/>
      <c r="B24" s="10" t="s">
        <v>18</v>
      </c>
      <c r="C24" s="11">
        <v>60.05</v>
      </c>
      <c r="D24" s="11">
        <v>39.19</v>
      </c>
      <c r="E24" s="11">
        <v>92</v>
      </c>
      <c r="F24" s="11">
        <v>85.76</v>
      </c>
      <c r="G24" s="11">
        <v>47.49</v>
      </c>
      <c r="H24" s="11">
        <v>95.7</v>
      </c>
      <c r="I24" s="11">
        <v>93.68</v>
      </c>
      <c r="J24" s="12">
        <v>1345</v>
      </c>
      <c r="K24" s="12">
        <v>2</v>
      </c>
      <c r="L24" s="12">
        <v>25075</v>
      </c>
      <c r="M24" s="12">
        <v>11756</v>
      </c>
      <c r="N24" s="11">
        <v>28.28</v>
      </c>
      <c r="O24" s="11">
        <v>8.02</v>
      </c>
    </row>
    <row r="25" spans="1:15" ht="14.5" x14ac:dyDescent="0.3">
      <c r="A25" s="54"/>
      <c r="B25" s="10" t="s">
        <v>19</v>
      </c>
      <c r="C25" s="11">
        <v>78.66</v>
      </c>
      <c r="D25" s="11">
        <v>67.05</v>
      </c>
      <c r="E25" s="11">
        <v>92.34</v>
      </c>
      <c r="F25" s="11">
        <v>94.42</v>
      </c>
      <c r="G25" s="11">
        <v>76.849999999999994</v>
      </c>
      <c r="H25" s="11">
        <v>95.87</v>
      </c>
      <c r="I25" s="11">
        <v>99.98</v>
      </c>
      <c r="J25" s="12">
        <v>1327</v>
      </c>
      <c r="K25" s="12">
        <v>10</v>
      </c>
      <c r="L25" s="12">
        <v>3095</v>
      </c>
      <c r="M25" s="12">
        <v>1875</v>
      </c>
      <c r="N25" s="11"/>
      <c r="O25" s="11">
        <v>12.17</v>
      </c>
    </row>
    <row r="26" spans="1:15" ht="14.5" x14ac:dyDescent="0.3">
      <c r="A26" s="54"/>
      <c r="B26" s="10" t="s">
        <v>20</v>
      </c>
      <c r="C26" s="11">
        <v>75.42</v>
      </c>
      <c r="D26" s="11">
        <v>63.55</v>
      </c>
      <c r="E26" s="11">
        <v>89.61</v>
      </c>
      <c r="F26" s="11">
        <v>94.24</v>
      </c>
      <c r="G26" s="11">
        <v>73.7</v>
      </c>
      <c r="H26" s="11">
        <v>95.77</v>
      </c>
      <c r="I26" s="11">
        <v>99.93</v>
      </c>
      <c r="J26" s="12">
        <v>1324</v>
      </c>
      <c r="K26" s="12">
        <v>3</v>
      </c>
      <c r="L26" s="12">
        <v>3338</v>
      </c>
      <c r="M26" s="12">
        <v>4310</v>
      </c>
      <c r="N26" s="11"/>
      <c r="O26" s="11">
        <v>10.89</v>
      </c>
    </row>
    <row r="27" spans="1:15" ht="14.5" x14ac:dyDescent="0.3">
      <c r="A27" s="55"/>
      <c r="B27" s="44" t="s">
        <v>41</v>
      </c>
      <c r="C27" s="45">
        <v>72.010000000000005</v>
      </c>
      <c r="D27" s="45">
        <v>60.51</v>
      </c>
      <c r="E27" s="45">
        <v>85.93</v>
      </c>
      <c r="F27" s="45">
        <v>94.36</v>
      </c>
      <c r="G27" s="45">
        <v>73.75</v>
      </c>
      <c r="H27" s="45">
        <v>96.66</v>
      </c>
      <c r="I27" s="45">
        <v>99.81</v>
      </c>
      <c r="J27" s="46">
        <v>1326</v>
      </c>
      <c r="K27" s="46">
        <v>3</v>
      </c>
      <c r="L27" s="46">
        <v>3041</v>
      </c>
      <c r="M27" s="46">
        <v>11456</v>
      </c>
      <c r="N27" s="45">
        <v>26.74</v>
      </c>
      <c r="O27" s="45">
        <v>8.36</v>
      </c>
    </row>
    <row r="28" spans="1:15" ht="14.5" x14ac:dyDescent="0.3">
      <c r="A28" s="55"/>
      <c r="B28" s="44" t="s">
        <v>43</v>
      </c>
      <c r="C28" s="45">
        <v>76.59</v>
      </c>
      <c r="D28" s="45">
        <v>66.87</v>
      </c>
      <c r="E28" s="45">
        <v>87.72</v>
      </c>
      <c r="F28" s="45">
        <v>94.47</v>
      </c>
      <c r="G28" s="45">
        <v>71.489999999999995</v>
      </c>
      <c r="H28" s="45">
        <v>96.92</v>
      </c>
      <c r="I28" s="45">
        <v>95.17</v>
      </c>
      <c r="J28" s="46">
        <v>1334</v>
      </c>
      <c r="K28" s="46">
        <v>3</v>
      </c>
      <c r="L28" s="46">
        <v>2371</v>
      </c>
      <c r="M28" s="46">
        <v>2363</v>
      </c>
      <c r="N28" s="45">
        <v>24.58</v>
      </c>
      <c r="O28" s="45">
        <v>8.7100000000000009</v>
      </c>
    </row>
    <row r="29" spans="1:15" ht="14.5" x14ac:dyDescent="0.3">
      <c r="A29" s="55"/>
      <c r="B29" s="44" t="s">
        <v>45</v>
      </c>
      <c r="C29" s="45">
        <v>72.400000000000006</v>
      </c>
      <c r="D29" s="45">
        <v>61.06</v>
      </c>
      <c r="E29" s="45">
        <v>86.17</v>
      </c>
      <c r="F29" s="45">
        <v>94.42</v>
      </c>
      <c r="G29" s="45">
        <v>73.8</v>
      </c>
      <c r="H29" s="45">
        <v>95.66</v>
      </c>
      <c r="I29" s="45">
        <v>98.82</v>
      </c>
      <c r="J29" s="46">
        <v>1327</v>
      </c>
      <c r="K29" s="46">
        <v>3</v>
      </c>
      <c r="L29" s="46">
        <v>2427</v>
      </c>
      <c r="M29" s="46">
        <v>11173</v>
      </c>
      <c r="N29" s="45"/>
      <c r="O29" s="45">
        <v>13.92</v>
      </c>
    </row>
    <row r="30" spans="1:15" ht="14.5" x14ac:dyDescent="0.3">
      <c r="A30" s="55"/>
      <c r="B30" s="44" t="s">
        <v>47</v>
      </c>
      <c r="C30" s="45">
        <v>79.94</v>
      </c>
      <c r="D30" s="45">
        <v>67.61</v>
      </c>
      <c r="E30" s="45">
        <v>94.52</v>
      </c>
      <c r="F30" s="45">
        <v>95.23</v>
      </c>
      <c r="G30" s="45">
        <v>76.89</v>
      </c>
      <c r="H30" s="45">
        <v>95.58</v>
      </c>
      <c r="I30" s="45">
        <v>99.98</v>
      </c>
      <c r="J30" s="46">
        <v>1334</v>
      </c>
      <c r="K30" s="46">
        <v>6</v>
      </c>
      <c r="L30" s="46">
        <v>2333</v>
      </c>
      <c r="M30" s="46">
        <v>1351</v>
      </c>
      <c r="N30" s="45"/>
      <c r="O30" s="45">
        <v>14.78</v>
      </c>
    </row>
    <row r="31" spans="1:15" ht="14.5" x14ac:dyDescent="0.3">
      <c r="A31" s="55"/>
      <c r="B31" s="44" t="s">
        <v>49</v>
      </c>
      <c r="C31" s="45">
        <v>80.180000000000007</v>
      </c>
      <c r="D31" s="45">
        <v>68.38</v>
      </c>
      <c r="E31" s="45">
        <v>94.04</v>
      </c>
      <c r="F31" s="45">
        <v>94.63</v>
      </c>
      <c r="G31" s="45">
        <v>77.739999999999995</v>
      </c>
      <c r="H31" s="45">
        <v>94.89</v>
      </c>
      <c r="I31" s="45">
        <v>99.99</v>
      </c>
      <c r="J31" s="46">
        <v>1305</v>
      </c>
      <c r="K31" s="46">
        <v>7</v>
      </c>
      <c r="L31" s="46">
        <v>2548</v>
      </c>
      <c r="M31" s="46">
        <v>2443</v>
      </c>
      <c r="N31" s="45"/>
      <c r="O31" s="45">
        <v>15.46</v>
      </c>
    </row>
    <row r="32" spans="1:15" ht="15" thickBot="1" x14ac:dyDescent="0.35">
      <c r="A32" s="56"/>
      <c r="B32" s="13" t="s">
        <v>21</v>
      </c>
      <c r="C32" s="14">
        <v>79.599999999999994</v>
      </c>
      <c r="D32" s="14">
        <v>68.5</v>
      </c>
      <c r="E32" s="14">
        <v>92.61</v>
      </c>
      <c r="F32" s="14">
        <v>95.72</v>
      </c>
      <c r="G32" s="14">
        <v>77.12</v>
      </c>
      <c r="H32" s="14">
        <v>96.23</v>
      </c>
      <c r="I32" s="14">
        <v>99.98</v>
      </c>
      <c r="J32" s="15">
        <v>1337</v>
      </c>
      <c r="K32" s="15">
        <v>7</v>
      </c>
      <c r="L32" s="15">
        <v>2825</v>
      </c>
      <c r="M32" s="15">
        <v>1981</v>
      </c>
      <c r="N32" s="14">
        <v>3.36</v>
      </c>
      <c r="O32" s="14">
        <v>9.61</v>
      </c>
    </row>
    <row r="33" spans="1:15" ht="14.5" x14ac:dyDescent="0.3">
      <c r="A33" s="49" t="s">
        <v>51</v>
      </c>
      <c r="B33" s="18" t="s">
        <v>12</v>
      </c>
      <c r="C33" s="16">
        <v>72.69</v>
      </c>
      <c r="D33" s="16">
        <v>58.75</v>
      </c>
      <c r="E33" s="16">
        <v>89.93</v>
      </c>
      <c r="F33" s="16">
        <v>84.93</v>
      </c>
      <c r="G33" s="16">
        <v>79</v>
      </c>
      <c r="H33" s="16">
        <v>94.93</v>
      </c>
      <c r="I33" s="16">
        <v>96.07</v>
      </c>
      <c r="J33" s="17">
        <v>176</v>
      </c>
      <c r="K33" s="17">
        <v>26</v>
      </c>
      <c r="L33" s="17">
        <v>3241</v>
      </c>
      <c r="M33" s="17">
        <v>2229</v>
      </c>
      <c r="N33" s="16">
        <v>54.35</v>
      </c>
      <c r="O33" s="16">
        <v>4.46</v>
      </c>
    </row>
    <row r="34" spans="1:15" ht="14.5" x14ac:dyDescent="0.3">
      <c r="A34" s="50"/>
      <c r="B34" s="1" t="s">
        <v>13</v>
      </c>
      <c r="C34" s="2">
        <v>58.02</v>
      </c>
      <c r="D34" s="2">
        <v>47.71</v>
      </c>
      <c r="E34" s="2">
        <v>70.56</v>
      </c>
      <c r="F34" s="2">
        <v>63.28</v>
      </c>
      <c r="G34" s="2">
        <v>61.55</v>
      </c>
      <c r="H34" s="2">
        <v>77.83</v>
      </c>
      <c r="I34" s="2">
        <v>98.96</v>
      </c>
      <c r="J34" s="3">
        <v>296</v>
      </c>
      <c r="K34" s="3">
        <v>54</v>
      </c>
      <c r="L34" s="3">
        <v>382</v>
      </c>
      <c r="M34" s="3">
        <v>2972</v>
      </c>
      <c r="N34" s="2">
        <v>7.47</v>
      </c>
      <c r="O34" s="2">
        <v>7.83</v>
      </c>
    </row>
    <row r="35" spans="1:15" ht="14.5" x14ac:dyDescent="0.3">
      <c r="A35" s="50"/>
      <c r="B35" s="1" t="s">
        <v>14</v>
      </c>
      <c r="C35" s="2">
        <v>73.95</v>
      </c>
      <c r="D35" s="2">
        <v>60.07</v>
      </c>
      <c r="E35" s="2">
        <v>91.03</v>
      </c>
      <c r="F35" s="2">
        <v>88.12</v>
      </c>
      <c r="G35" s="2">
        <v>86.35</v>
      </c>
      <c r="H35" s="2">
        <v>93.95</v>
      </c>
      <c r="I35" s="2">
        <v>97.57</v>
      </c>
      <c r="J35" s="3">
        <v>291</v>
      </c>
      <c r="K35" s="3">
        <v>20</v>
      </c>
      <c r="L35" s="3">
        <v>432</v>
      </c>
      <c r="M35" s="3">
        <v>581</v>
      </c>
      <c r="N35" s="2">
        <v>251.74</v>
      </c>
      <c r="O35" s="2">
        <v>6.16</v>
      </c>
    </row>
    <row r="36" spans="1:15" ht="14.5" x14ac:dyDescent="0.3">
      <c r="A36" s="50"/>
      <c r="B36" s="1" t="s">
        <v>15</v>
      </c>
      <c r="C36" s="2">
        <v>77.16</v>
      </c>
      <c r="D36" s="2">
        <v>65.36</v>
      </c>
      <c r="E36" s="2">
        <v>91.09</v>
      </c>
      <c r="F36" s="2">
        <v>88.58</v>
      </c>
      <c r="G36" s="2">
        <v>87.57</v>
      </c>
      <c r="H36" s="2">
        <v>93.6</v>
      </c>
      <c r="I36" s="2">
        <v>98.11</v>
      </c>
      <c r="J36" s="3">
        <v>283</v>
      </c>
      <c r="K36" s="3">
        <v>23</v>
      </c>
      <c r="L36" s="3">
        <v>268</v>
      </c>
      <c r="M36" s="3">
        <v>610</v>
      </c>
      <c r="N36" s="2">
        <v>5.69</v>
      </c>
      <c r="O36" s="2">
        <v>6.54</v>
      </c>
    </row>
    <row r="37" spans="1:15" ht="14.5" x14ac:dyDescent="0.3">
      <c r="A37" s="50"/>
      <c r="B37" s="1" t="s">
        <v>16</v>
      </c>
      <c r="C37" s="2">
        <v>75.58</v>
      </c>
      <c r="D37" s="2">
        <v>62.83</v>
      </c>
      <c r="E37" s="2">
        <v>90.92</v>
      </c>
      <c r="F37" s="2">
        <v>87.76</v>
      </c>
      <c r="G37" s="2">
        <v>83.32</v>
      </c>
      <c r="H37" s="2">
        <v>94.08</v>
      </c>
      <c r="I37" s="2">
        <v>98.68</v>
      </c>
      <c r="J37" s="3">
        <v>294</v>
      </c>
      <c r="K37" s="3">
        <v>15</v>
      </c>
      <c r="L37" s="3">
        <v>315</v>
      </c>
      <c r="M37" s="3">
        <v>547</v>
      </c>
      <c r="N37" s="2">
        <v>6.08</v>
      </c>
      <c r="O37" s="2">
        <v>7.03</v>
      </c>
    </row>
    <row r="38" spans="1:15" ht="14.5" x14ac:dyDescent="0.3">
      <c r="A38" s="50"/>
      <c r="B38" s="1" t="s">
        <v>17</v>
      </c>
      <c r="C38" s="2">
        <v>76.040000000000006</v>
      </c>
      <c r="D38" s="2">
        <v>63.13</v>
      </c>
      <c r="E38" s="2">
        <v>91.59</v>
      </c>
      <c r="F38" s="2">
        <v>88.76</v>
      </c>
      <c r="G38" s="2">
        <v>84.7</v>
      </c>
      <c r="H38" s="2">
        <v>94.42</v>
      </c>
      <c r="I38" s="2">
        <v>98.95</v>
      </c>
      <c r="J38" s="3">
        <v>304</v>
      </c>
      <c r="K38" s="3">
        <v>10</v>
      </c>
      <c r="L38" s="3">
        <v>245</v>
      </c>
      <c r="M38" s="3">
        <v>467</v>
      </c>
      <c r="N38" s="2">
        <v>61.54</v>
      </c>
      <c r="O38" s="2">
        <v>7.26</v>
      </c>
    </row>
    <row r="39" spans="1:15" ht="14.5" x14ac:dyDescent="0.3">
      <c r="A39" s="50"/>
      <c r="B39" s="1" t="s">
        <v>18</v>
      </c>
      <c r="C39" s="2">
        <v>57.54</v>
      </c>
      <c r="D39" s="2">
        <v>40.93</v>
      </c>
      <c r="E39" s="2">
        <v>80.900000000000006</v>
      </c>
      <c r="F39" s="2">
        <v>68.53</v>
      </c>
      <c r="G39" s="2">
        <v>67.239999999999995</v>
      </c>
      <c r="H39" s="2">
        <v>93.27</v>
      </c>
      <c r="I39" s="2">
        <v>86.48</v>
      </c>
      <c r="J39" s="3">
        <v>278</v>
      </c>
      <c r="K39" s="3">
        <v>11</v>
      </c>
      <c r="L39" s="3">
        <v>1988</v>
      </c>
      <c r="M39" s="3">
        <v>1150</v>
      </c>
      <c r="N39" s="2">
        <v>16.03</v>
      </c>
      <c r="O39" s="2">
        <v>6.78</v>
      </c>
    </row>
    <row r="40" spans="1:15" ht="14.5" x14ac:dyDescent="0.3">
      <c r="A40" s="50"/>
      <c r="B40" s="1" t="s">
        <v>19</v>
      </c>
      <c r="C40" s="2">
        <v>77.069999999999993</v>
      </c>
      <c r="D40" s="2">
        <v>64.5</v>
      </c>
      <c r="E40" s="2">
        <v>92.09</v>
      </c>
      <c r="F40" s="2">
        <v>88.84</v>
      </c>
      <c r="G40" s="2">
        <v>85.2</v>
      </c>
      <c r="H40" s="2">
        <v>95.34</v>
      </c>
      <c r="I40" s="2">
        <v>98.47</v>
      </c>
      <c r="J40" s="3">
        <v>318</v>
      </c>
      <c r="K40" s="3">
        <v>11</v>
      </c>
      <c r="L40" s="3">
        <v>563</v>
      </c>
      <c r="M40" s="3">
        <v>559</v>
      </c>
      <c r="N40" s="2"/>
      <c r="O40" s="2">
        <v>10.91</v>
      </c>
    </row>
    <row r="41" spans="1:15" ht="14.5" x14ac:dyDescent="0.3">
      <c r="A41" s="50"/>
      <c r="B41" s="1" t="s">
        <v>20</v>
      </c>
      <c r="C41" s="2">
        <v>76.97</v>
      </c>
      <c r="D41" s="2">
        <v>64.290000000000006</v>
      </c>
      <c r="E41" s="2">
        <v>92.14</v>
      </c>
      <c r="F41" s="2">
        <v>88.88</v>
      </c>
      <c r="G41" s="2">
        <v>85.9</v>
      </c>
      <c r="H41" s="2">
        <v>95.41</v>
      </c>
      <c r="I41" s="2">
        <v>98.35</v>
      </c>
      <c r="J41" s="3">
        <v>316</v>
      </c>
      <c r="K41" s="3">
        <v>12</v>
      </c>
      <c r="L41" s="3">
        <v>552</v>
      </c>
      <c r="M41" s="3">
        <v>578</v>
      </c>
      <c r="N41" s="2"/>
      <c r="O41" s="2">
        <v>8.9600000000000009</v>
      </c>
    </row>
    <row r="42" spans="1:15" ht="14.5" x14ac:dyDescent="0.3">
      <c r="A42" s="51"/>
      <c r="B42" s="41" t="s">
        <v>41</v>
      </c>
      <c r="C42" s="42">
        <v>75.02</v>
      </c>
      <c r="D42" s="42">
        <v>62.8</v>
      </c>
      <c r="E42" s="42">
        <v>89.62</v>
      </c>
      <c r="F42" s="42">
        <v>89.24</v>
      </c>
      <c r="G42" s="42">
        <v>85.29</v>
      </c>
      <c r="H42" s="42">
        <v>93.33</v>
      </c>
      <c r="I42" s="42">
        <v>98.33</v>
      </c>
      <c r="J42" s="43">
        <v>314</v>
      </c>
      <c r="K42" s="43">
        <v>16</v>
      </c>
      <c r="L42" s="43">
        <v>478</v>
      </c>
      <c r="M42" s="43">
        <v>682</v>
      </c>
      <c r="N42" s="42">
        <v>24.86</v>
      </c>
      <c r="O42" s="42">
        <v>6.62</v>
      </c>
    </row>
    <row r="43" spans="1:15" ht="14.5" x14ac:dyDescent="0.3">
      <c r="A43" s="51"/>
      <c r="B43" s="41" t="s">
        <v>43</v>
      </c>
      <c r="C43" s="42">
        <v>75.67</v>
      </c>
      <c r="D43" s="42">
        <v>65.959999999999994</v>
      </c>
      <c r="E43" s="42">
        <v>86.81</v>
      </c>
      <c r="F43" s="42">
        <v>89.55</v>
      </c>
      <c r="G43" s="42">
        <v>85.6</v>
      </c>
      <c r="H43" s="42">
        <v>93.14</v>
      </c>
      <c r="I43" s="42">
        <v>98.18</v>
      </c>
      <c r="J43" s="43">
        <v>301</v>
      </c>
      <c r="K43" s="43">
        <v>14</v>
      </c>
      <c r="L43" s="43">
        <v>501</v>
      </c>
      <c r="M43" s="43">
        <v>602</v>
      </c>
      <c r="N43" s="42">
        <v>22.74</v>
      </c>
      <c r="O43" s="42">
        <v>6.95</v>
      </c>
    </row>
    <row r="44" spans="1:15" ht="14.5" x14ac:dyDescent="0.3">
      <c r="A44" s="51"/>
      <c r="B44" s="41" t="s">
        <v>45</v>
      </c>
      <c r="C44" s="42">
        <v>72.91</v>
      </c>
      <c r="D44" s="42">
        <v>61.61</v>
      </c>
      <c r="E44" s="42">
        <v>86.28</v>
      </c>
      <c r="F44" s="42">
        <v>88.39</v>
      </c>
      <c r="G44" s="42">
        <v>82.18</v>
      </c>
      <c r="H44" s="42">
        <v>94.99</v>
      </c>
      <c r="I44" s="42">
        <v>98.08</v>
      </c>
      <c r="J44" s="43">
        <v>303</v>
      </c>
      <c r="K44" s="43">
        <v>14</v>
      </c>
      <c r="L44" s="43">
        <v>595</v>
      </c>
      <c r="M44" s="43">
        <v>854</v>
      </c>
      <c r="N44" s="42"/>
      <c r="O44" s="42">
        <v>12.94</v>
      </c>
    </row>
    <row r="45" spans="1:15" ht="14.5" x14ac:dyDescent="0.3">
      <c r="A45" s="51"/>
      <c r="B45" s="41" t="s">
        <v>47</v>
      </c>
      <c r="C45" s="42">
        <v>75.91</v>
      </c>
      <c r="D45" s="42">
        <v>63.66</v>
      </c>
      <c r="E45" s="42">
        <v>90.52</v>
      </c>
      <c r="F45" s="42">
        <v>88.54</v>
      </c>
      <c r="G45" s="42">
        <v>82.6</v>
      </c>
      <c r="H45" s="42">
        <v>94.46</v>
      </c>
      <c r="I45" s="42">
        <v>97.46</v>
      </c>
      <c r="J45" s="43">
        <v>297</v>
      </c>
      <c r="K45" s="43">
        <v>12</v>
      </c>
      <c r="L45" s="43">
        <v>593</v>
      </c>
      <c r="M45" s="43">
        <v>733</v>
      </c>
      <c r="N45" s="42"/>
      <c r="O45" s="42">
        <v>14.08</v>
      </c>
    </row>
    <row r="46" spans="1:15" ht="14.5" x14ac:dyDescent="0.3">
      <c r="A46" s="51"/>
      <c r="B46" s="41" t="s">
        <v>49</v>
      </c>
      <c r="C46" s="42">
        <v>76.62</v>
      </c>
      <c r="D46" s="42">
        <v>66.8</v>
      </c>
      <c r="E46" s="42">
        <v>87.89</v>
      </c>
      <c r="F46" s="42">
        <v>89.31</v>
      </c>
      <c r="G46" s="42">
        <v>82.77</v>
      </c>
      <c r="H46" s="42">
        <v>95.48</v>
      </c>
      <c r="I46" s="42">
        <v>98.13</v>
      </c>
      <c r="J46" s="43">
        <v>307</v>
      </c>
      <c r="K46" s="43">
        <v>12</v>
      </c>
      <c r="L46" s="43">
        <v>553</v>
      </c>
      <c r="M46" s="43">
        <v>702</v>
      </c>
      <c r="N46" s="42"/>
      <c r="O46" s="42">
        <v>15.02</v>
      </c>
    </row>
    <row r="47" spans="1:15" ht="15" thickBot="1" x14ac:dyDescent="0.35">
      <c r="A47" s="52"/>
      <c r="B47" s="4" t="s">
        <v>21</v>
      </c>
      <c r="C47" s="5">
        <v>77.180000000000007</v>
      </c>
      <c r="D47" s="5">
        <v>63.3</v>
      </c>
      <c r="E47" s="5">
        <v>94.11</v>
      </c>
      <c r="F47" s="5">
        <v>90.39</v>
      </c>
      <c r="G47" s="5">
        <v>88.16</v>
      </c>
      <c r="H47" s="5">
        <v>97.83</v>
      </c>
      <c r="I47" s="5">
        <v>97.7</v>
      </c>
      <c r="J47" s="6">
        <v>305</v>
      </c>
      <c r="K47" s="6">
        <v>17</v>
      </c>
      <c r="L47" s="6">
        <v>700</v>
      </c>
      <c r="M47" s="6">
        <v>689</v>
      </c>
      <c r="N47" s="5">
        <v>5.17</v>
      </c>
      <c r="O47" s="5">
        <v>8.33</v>
      </c>
    </row>
    <row r="48" spans="1:15" ht="14.5" x14ac:dyDescent="0.3">
      <c r="A48" s="53" t="s">
        <v>54</v>
      </c>
      <c r="B48" s="7" t="s">
        <v>12</v>
      </c>
      <c r="C48" s="8">
        <v>71.08</v>
      </c>
      <c r="D48" s="8">
        <v>86.89</v>
      </c>
      <c r="E48" s="8">
        <v>71.08</v>
      </c>
      <c r="F48" s="8">
        <v>16.2</v>
      </c>
      <c r="G48" s="8">
        <v>64.83</v>
      </c>
      <c r="H48" s="8">
        <v>99.68</v>
      </c>
      <c r="I48" s="8">
        <v>54.47</v>
      </c>
      <c r="J48" s="9">
        <v>1535</v>
      </c>
      <c r="K48" s="9">
        <v>11</v>
      </c>
      <c r="L48" s="9">
        <v>548</v>
      </c>
      <c r="M48" s="9">
        <v>131</v>
      </c>
      <c r="N48" s="8">
        <v>24.6</v>
      </c>
      <c r="O48" s="8">
        <v>5.44</v>
      </c>
    </row>
    <row r="49" spans="1:15" ht="14.5" x14ac:dyDescent="0.3">
      <c r="A49" s="54"/>
      <c r="B49" s="10" t="s">
        <v>13</v>
      </c>
      <c r="C49" s="11">
        <v>70.09</v>
      </c>
      <c r="D49" s="11">
        <v>77.27</v>
      </c>
      <c r="E49" s="11">
        <v>63.95</v>
      </c>
      <c r="F49" s="11">
        <v>52.33</v>
      </c>
      <c r="G49" s="11">
        <v>69.19</v>
      </c>
      <c r="H49" s="11">
        <v>80.37</v>
      </c>
      <c r="I49" s="11">
        <v>74.28</v>
      </c>
      <c r="J49" s="12">
        <v>1275</v>
      </c>
      <c r="K49" s="12">
        <v>89</v>
      </c>
      <c r="L49" s="12">
        <v>672</v>
      </c>
      <c r="M49" s="12">
        <v>610</v>
      </c>
      <c r="N49" s="11">
        <v>3.88</v>
      </c>
      <c r="O49" s="11">
        <v>9.42</v>
      </c>
    </row>
    <row r="50" spans="1:15" ht="14.5" x14ac:dyDescent="0.3">
      <c r="A50" s="54"/>
      <c r="B50" s="10" t="s">
        <v>14</v>
      </c>
      <c r="C50" s="11">
        <v>72.86</v>
      </c>
      <c r="D50" s="11">
        <v>91.32</v>
      </c>
      <c r="E50" s="11">
        <v>58.2</v>
      </c>
      <c r="F50" s="11">
        <v>15.51</v>
      </c>
      <c r="G50" s="11">
        <v>66.78</v>
      </c>
      <c r="H50" s="11">
        <v>98.74</v>
      </c>
      <c r="I50" s="11">
        <v>54.3</v>
      </c>
      <c r="J50" s="12">
        <v>1397</v>
      </c>
      <c r="K50" s="12">
        <v>29</v>
      </c>
      <c r="L50" s="12">
        <v>433</v>
      </c>
      <c r="M50" s="12">
        <v>507</v>
      </c>
      <c r="N50" s="11">
        <v>221.4</v>
      </c>
      <c r="O50" s="11">
        <v>7.66</v>
      </c>
    </row>
    <row r="51" spans="1:15" ht="14.5" x14ac:dyDescent="0.3">
      <c r="A51" s="54"/>
      <c r="B51" s="10" t="s">
        <v>15</v>
      </c>
      <c r="C51" s="11">
        <v>87.28</v>
      </c>
      <c r="D51" s="11">
        <v>89.38</v>
      </c>
      <c r="E51" s="11">
        <v>85.42</v>
      </c>
      <c r="F51" s="11">
        <v>88.44</v>
      </c>
      <c r="G51" s="11">
        <v>89.72</v>
      </c>
      <c r="H51" s="11">
        <v>99.3</v>
      </c>
      <c r="I51" s="11">
        <v>90.27</v>
      </c>
      <c r="J51" s="12">
        <v>1477</v>
      </c>
      <c r="K51" s="12">
        <v>18</v>
      </c>
      <c r="L51" s="12">
        <v>477</v>
      </c>
      <c r="M51" s="12">
        <v>346</v>
      </c>
      <c r="N51" s="11">
        <v>4.32</v>
      </c>
      <c r="O51" s="11">
        <v>8.01</v>
      </c>
    </row>
    <row r="52" spans="1:15" ht="14.5" x14ac:dyDescent="0.3">
      <c r="A52" s="54"/>
      <c r="B52" s="10" t="s">
        <v>16</v>
      </c>
      <c r="C52" s="11">
        <v>65.290000000000006</v>
      </c>
      <c r="D52" s="11">
        <v>70.91</v>
      </c>
      <c r="E52" s="11">
        <v>61.12</v>
      </c>
      <c r="F52" s="11">
        <v>69.099999999999994</v>
      </c>
      <c r="G52" s="11">
        <v>71.680000000000007</v>
      </c>
      <c r="H52" s="11">
        <v>76.91</v>
      </c>
      <c r="I52" s="11">
        <v>91.46</v>
      </c>
      <c r="J52" s="12">
        <v>919</v>
      </c>
      <c r="K52" s="12">
        <v>221</v>
      </c>
      <c r="L52" s="12">
        <v>1990</v>
      </c>
      <c r="M52" s="12">
        <v>2170</v>
      </c>
      <c r="N52" s="11">
        <v>5.28</v>
      </c>
      <c r="O52" s="11">
        <v>8.64</v>
      </c>
    </row>
    <row r="53" spans="1:15" ht="14.5" x14ac:dyDescent="0.3">
      <c r="A53" s="54"/>
      <c r="B53" s="10" t="s">
        <v>17</v>
      </c>
      <c r="C53" s="11">
        <v>60.08</v>
      </c>
      <c r="D53" s="11">
        <v>66.09</v>
      </c>
      <c r="E53" s="11">
        <v>54.62</v>
      </c>
      <c r="F53" s="11">
        <v>50.67</v>
      </c>
      <c r="G53" s="11">
        <v>58.66</v>
      </c>
      <c r="H53" s="11">
        <v>56.33</v>
      </c>
      <c r="I53" s="11">
        <v>91.38</v>
      </c>
      <c r="J53" s="12">
        <v>817</v>
      </c>
      <c r="K53" s="12">
        <v>454</v>
      </c>
      <c r="L53" s="12">
        <v>1098</v>
      </c>
      <c r="M53" s="12">
        <v>239</v>
      </c>
      <c r="N53" s="11">
        <v>10.89</v>
      </c>
      <c r="O53" s="11">
        <v>8.81</v>
      </c>
    </row>
    <row r="54" spans="1:15" ht="14.5" x14ac:dyDescent="0.3">
      <c r="A54" s="54"/>
      <c r="B54" s="10" t="s">
        <v>18</v>
      </c>
      <c r="C54" s="11">
        <v>46.98</v>
      </c>
      <c r="D54" s="11">
        <v>49.79</v>
      </c>
      <c r="E54" s="11">
        <v>44.89</v>
      </c>
      <c r="F54" s="11">
        <v>47.35</v>
      </c>
      <c r="G54" s="11">
        <v>52.88</v>
      </c>
      <c r="H54" s="11">
        <v>59.73</v>
      </c>
      <c r="I54" s="11">
        <v>83.82</v>
      </c>
      <c r="J54" s="12">
        <v>595</v>
      </c>
      <c r="K54" s="12">
        <v>365</v>
      </c>
      <c r="L54" s="12">
        <v>2698</v>
      </c>
      <c r="M54" s="12">
        <v>2859</v>
      </c>
      <c r="N54" s="11">
        <v>138.6</v>
      </c>
      <c r="O54" s="11">
        <v>8.2799999999999994</v>
      </c>
    </row>
    <row r="55" spans="1:15" ht="14.5" x14ac:dyDescent="0.3">
      <c r="A55" s="54"/>
      <c r="B55" s="10" t="s">
        <v>19</v>
      </c>
      <c r="C55" s="11">
        <v>69.44</v>
      </c>
      <c r="D55" s="11">
        <v>76.260000000000005</v>
      </c>
      <c r="E55" s="11">
        <v>63.92</v>
      </c>
      <c r="F55" s="11">
        <v>69.37</v>
      </c>
      <c r="G55" s="11">
        <v>75.319999999999993</v>
      </c>
      <c r="H55" s="11">
        <v>79.97</v>
      </c>
      <c r="I55" s="11">
        <v>88.67</v>
      </c>
      <c r="J55" s="12">
        <v>1054</v>
      </c>
      <c r="K55" s="12">
        <v>178</v>
      </c>
      <c r="L55" s="12">
        <v>1223</v>
      </c>
      <c r="M55" s="12">
        <v>1466</v>
      </c>
      <c r="N55" s="11"/>
      <c r="O55" s="11">
        <v>12.43</v>
      </c>
    </row>
    <row r="56" spans="1:15" ht="14.5" x14ac:dyDescent="0.3">
      <c r="A56" s="54"/>
      <c r="B56" s="10" t="s">
        <v>20</v>
      </c>
      <c r="C56" s="11">
        <v>81.28</v>
      </c>
      <c r="D56" s="11">
        <v>86.17</v>
      </c>
      <c r="E56" s="11">
        <v>77.010000000000005</v>
      </c>
      <c r="F56" s="11">
        <v>71.38</v>
      </c>
      <c r="G56" s="11">
        <v>80.77</v>
      </c>
      <c r="H56" s="11">
        <v>92.7</v>
      </c>
      <c r="I56" s="11">
        <v>81.540000000000006</v>
      </c>
      <c r="J56" s="12">
        <v>1248</v>
      </c>
      <c r="K56" s="12">
        <v>101</v>
      </c>
      <c r="L56" s="12">
        <v>1041</v>
      </c>
      <c r="M56" s="12">
        <v>994</v>
      </c>
      <c r="N56" s="11"/>
      <c r="O56" s="11">
        <v>11.07</v>
      </c>
    </row>
    <row r="57" spans="1:15" ht="14.5" x14ac:dyDescent="0.3">
      <c r="A57" s="55"/>
      <c r="B57" s="44" t="s">
        <v>41</v>
      </c>
      <c r="C57" s="45">
        <v>74.709999999999994</v>
      </c>
      <c r="D57" s="45">
        <v>71.010000000000005</v>
      </c>
      <c r="E57" s="45">
        <v>77.14</v>
      </c>
      <c r="F57" s="45">
        <v>75.650000000000006</v>
      </c>
      <c r="G57" s="45">
        <v>71.44</v>
      </c>
      <c r="H57" s="45">
        <v>97.81</v>
      </c>
      <c r="I57" s="45">
        <v>91.24</v>
      </c>
      <c r="J57" s="46">
        <v>1326</v>
      </c>
      <c r="K57" s="46">
        <v>133</v>
      </c>
      <c r="L57" s="46">
        <v>2112</v>
      </c>
      <c r="M57" s="46">
        <v>667</v>
      </c>
      <c r="N57" s="45">
        <v>34.590000000000003</v>
      </c>
      <c r="O57" s="45">
        <v>8.2799999999999994</v>
      </c>
    </row>
    <row r="58" spans="1:15" ht="14.5" x14ac:dyDescent="0.3">
      <c r="A58" s="55"/>
      <c r="B58" s="44" t="s">
        <v>43</v>
      </c>
      <c r="C58" s="45">
        <v>77.400000000000006</v>
      </c>
      <c r="D58" s="45">
        <v>70.19</v>
      </c>
      <c r="E58" s="45">
        <v>85.35</v>
      </c>
      <c r="F58" s="45">
        <v>84.44</v>
      </c>
      <c r="G58" s="45">
        <v>78.27</v>
      </c>
      <c r="H58" s="45">
        <v>98</v>
      </c>
      <c r="I58" s="45">
        <v>91.69</v>
      </c>
      <c r="J58" s="46">
        <v>1399</v>
      </c>
      <c r="K58" s="46">
        <v>124</v>
      </c>
      <c r="L58" s="46">
        <v>1765</v>
      </c>
      <c r="M58" s="46">
        <v>393</v>
      </c>
      <c r="N58" s="45">
        <v>33.409999999999997</v>
      </c>
      <c r="O58" s="45">
        <v>8.44</v>
      </c>
    </row>
    <row r="59" spans="1:15" ht="14.5" x14ac:dyDescent="0.3">
      <c r="A59" s="55"/>
      <c r="B59" s="44" t="s">
        <v>45</v>
      </c>
      <c r="C59" s="45">
        <v>75.540000000000006</v>
      </c>
      <c r="D59" s="45">
        <v>67.069999999999993</v>
      </c>
      <c r="E59" s="45">
        <v>85.08</v>
      </c>
      <c r="F59" s="45">
        <v>87.03</v>
      </c>
      <c r="G59" s="45">
        <v>72.540000000000006</v>
      </c>
      <c r="H59" s="45">
        <v>98.15</v>
      </c>
      <c r="I59" s="45">
        <v>91.52</v>
      </c>
      <c r="J59" s="46">
        <v>1429</v>
      </c>
      <c r="K59" s="46">
        <v>128</v>
      </c>
      <c r="L59" s="46">
        <v>1768</v>
      </c>
      <c r="M59" s="46">
        <v>535</v>
      </c>
      <c r="N59" s="45"/>
      <c r="O59" s="45">
        <v>14.11</v>
      </c>
    </row>
    <row r="60" spans="1:15" ht="14.5" x14ac:dyDescent="0.3">
      <c r="A60" s="55"/>
      <c r="B60" s="44" t="s">
        <v>47</v>
      </c>
      <c r="C60" s="45">
        <v>80.23</v>
      </c>
      <c r="D60" s="45">
        <v>75.08</v>
      </c>
      <c r="E60" s="45">
        <v>85.73</v>
      </c>
      <c r="F60" s="45">
        <v>85.19</v>
      </c>
      <c r="G60" s="45">
        <v>78.03</v>
      </c>
      <c r="H60" s="45">
        <v>98.32</v>
      </c>
      <c r="I60" s="45">
        <v>91.23</v>
      </c>
      <c r="J60" s="46">
        <v>1427</v>
      </c>
      <c r="K60" s="46">
        <v>82</v>
      </c>
      <c r="L60" s="46">
        <v>1519</v>
      </c>
      <c r="M60" s="46">
        <v>534</v>
      </c>
      <c r="N60" s="45"/>
      <c r="O60" s="45">
        <v>15.05</v>
      </c>
    </row>
    <row r="61" spans="1:15" ht="14.5" x14ac:dyDescent="0.3">
      <c r="A61" s="55"/>
      <c r="B61" s="44" t="s">
        <v>49</v>
      </c>
      <c r="C61" s="45">
        <v>87.61</v>
      </c>
      <c r="D61" s="45">
        <v>90.49</v>
      </c>
      <c r="E61" s="45">
        <v>84.98</v>
      </c>
      <c r="F61" s="45">
        <v>89.33</v>
      </c>
      <c r="G61" s="45">
        <v>90.95</v>
      </c>
      <c r="H61" s="45">
        <v>98.3</v>
      </c>
      <c r="I61" s="45">
        <v>90.98</v>
      </c>
      <c r="J61" s="46">
        <v>1429</v>
      </c>
      <c r="K61" s="46">
        <v>119</v>
      </c>
      <c r="L61" s="46">
        <v>1332</v>
      </c>
      <c r="M61" s="46">
        <v>632</v>
      </c>
      <c r="N61" s="45"/>
      <c r="O61" s="45">
        <v>15.82</v>
      </c>
    </row>
    <row r="62" spans="1:15" ht="15" thickBot="1" x14ac:dyDescent="0.35">
      <c r="A62" s="56"/>
      <c r="B62" s="13" t="s">
        <v>21</v>
      </c>
      <c r="C62" s="14">
        <v>87.98</v>
      </c>
      <c r="D62" s="14">
        <v>89.95</v>
      </c>
      <c r="E62" s="14">
        <v>86.29</v>
      </c>
      <c r="F62" s="14">
        <v>90.8</v>
      </c>
      <c r="G62" s="14">
        <v>91.31</v>
      </c>
      <c r="H62" s="14">
        <v>98.95</v>
      </c>
      <c r="I62" s="14">
        <v>92.51</v>
      </c>
      <c r="J62" s="15">
        <v>1543</v>
      </c>
      <c r="K62" s="15">
        <v>100</v>
      </c>
      <c r="L62" s="15">
        <v>433</v>
      </c>
      <c r="M62" s="15">
        <v>484</v>
      </c>
      <c r="N62" s="14">
        <v>2.95</v>
      </c>
      <c r="O62" s="14">
        <v>10.35</v>
      </c>
    </row>
    <row r="63" spans="1:15" ht="14.5" x14ac:dyDescent="0.3">
      <c r="A63" s="57" t="s">
        <v>23</v>
      </c>
      <c r="B63" s="18" t="s">
        <v>12</v>
      </c>
      <c r="C63" s="19">
        <v>47.42</v>
      </c>
      <c r="D63" s="19">
        <v>27.75</v>
      </c>
      <c r="E63" s="19">
        <v>81.44</v>
      </c>
      <c r="F63" s="19">
        <v>96.15</v>
      </c>
      <c r="G63" s="19">
        <v>45.42</v>
      </c>
      <c r="H63" s="19">
        <v>99.28</v>
      </c>
      <c r="I63" s="19">
        <v>99.83</v>
      </c>
      <c r="J63" s="20">
        <v>386</v>
      </c>
      <c r="K63" s="20">
        <v>1</v>
      </c>
      <c r="L63" s="20">
        <v>9710</v>
      </c>
      <c r="M63" s="20">
        <v>3184</v>
      </c>
      <c r="N63" s="19">
        <v>75.12</v>
      </c>
      <c r="O63" s="19">
        <v>5.22</v>
      </c>
    </row>
    <row r="64" spans="1:15" ht="14.5" x14ac:dyDescent="0.3">
      <c r="A64" s="50"/>
      <c r="B64" s="1" t="s">
        <v>13</v>
      </c>
      <c r="C64" s="2">
        <v>36.049999999999997</v>
      </c>
      <c r="D64" s="2">
        <v>13.34</v>
      </c>
      <c r="E64" s="2">
        <v>97.42</v>
      </c>
      <c r="F64" s="2">
        <v>85.41</v>
      </c>
      <c r="G64" s="2">
        <v>28.45</v>
      </c>
      <c r="H64" s="2">
        <v>99.57</v>
      </c>
      <c r="I64" s="2">
        <v>99.99</v>
      </c>
      <c r="J64" s="3">
        <v>387</v>
      </c>
      <c r="K64" s="3">
        <v>0</v>
      </c>
      <c r="L64" s="3">
        <v>46393</v>
      </c>
      <c r="M64" s="3">
        <v>1775</v>
      </c>
      <c r="N64" s="2">
        <v>5.74</v>
      </c>
      <c r="O64" s="2">
        <v>9.0399999999999991</v>
      </c>
    </row>
    <row r="65" spans="1:15" ht="14.5" x14ac:dyDescent="0.3">
      <c r="A65" s="50"/>
      <c r="B65" s="1" t="s">
        <v>14</v>
      </c>
      <c r="C65" s="2">
        <v>38.39</v>
      </c>
      <c r="D65" s="2">
        <v>21.62</v>
      </c>
      <c r="E65" s="2">
        <v>68.73</v>
      </c>
      <c r="F65" s="2">
        <v>79.849999999999994</v>
      </c>
      <c r="G65" s="2">
        <v>34.909999999999997</v>
      </c>
      <c r="H65" s="2">
        <v>83.76</v>
      </c>
      <c r="I65" s="2">
        <v>97.97</v>
      </c>
      <c r="J65" s="3">
        <v>276</v>
      </c>
      <c r="K65" s="3">
        <v>20</v>
      </c>
      <c r="L65" s="3">
        <v>4514</v>
      </c>
      <c r="M65" s="3">
        <v>5750</v>
      </c>
      <c r="N65" s="2">
        <v>679.02</v>
      </c>
      <c r="O65" s="2">
        <v>7.33</v>
      </c>
    </row>
    <row r="66" spans="1:15" ht="14.5" x14ac:dyDescent="0.3">
      <c r="A66" s="50"/>
      <c r="B66" s="1" t="s">
        <v>15</v>
      </c>
      <c r="C66" s="2">
        <v>35.299999999999997</v>
      </c>
      <c r="D66" s="2">
        <v>21.86</v>
      </c>
      <c r="E66" s="2">
        <v>57.46</v>
      </c>
      <c r="F66" s="2">
        <v>79.75</v>
      </c>
      <c r="G66" s="2">
        <v>37.49</v>
      </c>
      <c r="H66" s="2">
        <v>92.52</v>
      </c>
      <c r="I66" s="2">
        <v>97.52</v>
      </c>
      <c r="J66" s="3">
        <v>199</v>
      </c>
      <c r="K66" s="3">
        <v>26</v>
      </c>
      <c r="L66" s="3">
        <v>2590</v>
      </c>
      <c r="M66" s="3">
        <v>7651</v>
      </c>
      <c r="N66" s="2">
        <v>5.51</v>
      </c>
      <c r="O66" s="2">
        <v>7.57</v>
      </c>
    </row>
    <row r="67" spans="1:15" ht="14.5" x14ac:dyDescent="0.3">
      <c r="A67" s="50"/>
      <c r="B67" s="1" t="s">
        <v>16</v>
      </c>
      <c r="C67" s="2">
        <v>40.1</v>
      </c>
      <c r="D67" s="2">
        <v>17.03</v>
      </c>
      <c r="E67" s="2">
        <v>94.46</v>
      </c>
      <c r="F67" s="2">
        <v>87.04</v>
      </c>
      <c r="G67" s="2">
        <v>33.159999999999997</v>
      </c>
      <c r="H67" s="2">
        <v>99.46</v>
      </c>
      <c r="I67" s="2">
        <v>99.85</v>
      </c>
      <c r="J67" s="3">
        <v>387</v>
      </c>
      <c r="K67" s="3">
        <v>0</v>
      </c>
      <c r="L67" s="3">
        <v>1851</v>
      </c>
      <c r="M67" s="3">
        <v>40212</v>
      </c>
      <c r="N67" s="2">
        <v>6.5</v>
      </c>
      <c r="O67" s="2">
        <v>8.33</v>
      </c>
    </row>
    <row r="68" spans="1:15" ht="14.5" x14ac:dyDescent="0.3">
      <c r="A68" s="50"/>
      <c r="B68" s="1" t="s">
        <v>17</v>
      </c>
      <c r="C68" s="2">
        <v>40.04</v>
      </c>
      <c r="D68" s="2">
        <v>24.95</v>
      </c>
      <c r="E68" s="2">
        <v>64.260000000000005</v>
      </c>
      <c r="F68" s="2">
        <v>64.459999999999994</v>
      </c>
      <c r="G68" s="2">
        <v>35.74</v>
      </c>
      <c r="H68" s="2">
        <v>66.02</v>
      </c>
      <c r="I68" s="2">
        <v>99.98</v>
      </c>
      <c r="J68" s="3">
        <v>231</v>
      </c>
      <c r="K68" s="3">
        <v>86</v>
      </c>
      <c r="L68" s="3">
        <v>5099</v>
      </c>
      <c r="M68" s="3">
        <v>4171</v>
      </c>
      <c r="N68" s="2">
        <v>1.24</v>
      </c>
      <c r="O68" s="2">
        <v>8.56</v>
      </c>
    </row>
    <row r="69" spans="1:15" ht="14.5" x14ac:dyDescent="0.3">
      <c r="A69" s="50"/>
      <c r="B69" s="1" t="s">
        <v>18</v>
      </c>
      <c r="C69" s="2">
        <v>40.18</v>
      </c>
      <c r="D69" s="2">
        <v>19.11</v>
      </c>
      <c r="E69" s="2">
        <v>84.51</v>
      </c>
      <c r="F69" s="2">
        <v>85.89</v>
      </c>
      <c r="G69" s="2">
        <v>31.98</v>
      </c>
      <c r="H69" s="2">
        <v>98.95</v>
      </c>
      <c r="I69" s="2">
        <v>90.36</v>
      </c>
      <c r="J69" s="3">
        <v>385</v>
      </c>
      <c r="K69" s="3">
        <v>2</v>
      </c>
      <c r="L69" s="3">
        <v>7952</v>
      </c>
      <c r="M69" s="3">
        <v>2805</v>
      </c>
      <c r="N69" s="2">
        <v>6.06</v>
      </c>
      <c r="O69" s="2">
        <v>7.92</v>
      </c>
    </row>
    <row r="70" spans="1:15" ht="14.5" x14ac:dyDescent="0.3">
      <c r="A70" s="50"/>
      <c r="B70" s="1" t="s">
        <v>19</v>
      </c>
      <c r="C70" s="2">
        <v>46.67</v>
      </c>
      <c r="D70" s="2">
        <v>25.35</v>
      </c>
      <c r="E70" s="2">
        <v>85.22</v>
      </c>
      <c r="F70" s="2">
        <v>93.03</v>
      </c>
      <c r="G70" s="2">
        <v>42.7</v>
      </c>
      <c r="H70" s="2">
        <v>94.91</v>
      </c>
      <c r="I70" s="2">
        <v>99.81</v>
      </c>
      <c r="J70" s="3">
        <v>387</v>
      </c>
      <c r="K70" s="3">
        <v>0</v>
      </c>
      <c r="L70" s="3">
        <v>20286</v>
      </c>
      <c r="M70" s="3">
        <v>2517</v>
      </c>
      <c r="N70" s="2"/>
      <c r="O70" s="2">
        <v>12.01</v>
      </c>
    </row>
    <row r="71" spans="1:15" ht="14.5" x14ac:dyDescent="0.3">
      <c r="A71" s="50"/>
      <c r="B71" s="1" t="s">
        <v>20</v>
      </c>
      <c r="C71" s="2">
        <v>58.89</v>
      </c>
      <c r="D71" s="2">
        <v>42.19</v>
      </c>
      <c r="E71" s="2">
        <v>82.35</v>
      </c>
      <c r="F71" s="2">
        <v>94.52</v>
      </c>
      <c r="G71" s="2">
        <v>59.48</v>
      </c>
      <c r="H71" s="2">
        <v>96.22</v>
      </c>
      <c r="I71" s="2">
        <v>98.89</v>
      </c>
      <c r="J71" s="3">
        <v>378</v>
      </c>
      <c r="K71" s="3">
        <v>4</v>
      </c>
      <c r="L71" s="3">
        <v>2054</v>
      </c>
      <c r="M71" s="3">
        <v>2353</v>
      </c>
      <c r="N71" s="2"/>
      <c r="O71" s="2">
        <v>10.64</v>
      </c>
    </row>
    <row r="72" spans="1:15" ht="14.5" x14ac:dyDescent="0.3">
      <c r="A72" s="51"/>
      <c r="B72" s="41" t="s">
        <v>41</v>
      </c>
      <c r="C72" s="42">
        <v>57.06</v>
      </c>
      <c r="D72" s="42">
        <v>37.01</v>
      </c>
      <c r="E72" s="42">
        <v>88</v>
      </c>
      <c r="F72" s="42">
        <v>95.92</v>
      </c>
      <c r="G72" s="42">
        <v>53.93</v>
      </c>
      <c r="H72" s="42">
        <v>98.1</v>
      </c>
      <c r="I72" s="42">
        <v>99.82</v>
      </c>
      <c r="J72" s="43">
        <v>378</v>
      </c>
      <c r="K72" s="43">
        <v>1</v>
      </c>
      <c r="L72" s="43">
        <v>1996</v>
      </c>
      <c r="M72" s="43">
        <v>1761</v>
      </c>
      <c r="N72" s="42">
        <v>28.37</v>
      </c>
      <c r="O72" s="42">
        <v>8.1300000000000008</v>
      </c>
    </row>
    <row r="73" spans="1:15" ht="14.5" x14ac:dyDescent="0.3">
      <c r="A73" s="51"/>
      <c r="B73" s="41" t="s">
        <v>43</v>
      </c>
      <c r="C73" s="42">
        <v>59.48</v>
      </c>
      <c r="D73" s="42">
        <v>40.83</v>
      </c>
      <c r="E73" s="42">
        <v>86.7</v>
      </c>
      <c r="F73" s="42">
        <v>96.84</v>
      </c>
      <c r="G73" s="42">
        <v>57.37</v>
      </c>
      <c r="H73" s="42">
        <v>98.81</v>
      </c>
      <c r="I73" s="42">
        <v>99.78</v>
      </c>
      <c r="J73" s="43">
        <v>383</v>
      </c>
      <c r="K73" s="43">
        <v>0</v>
      </c>
      <c r="L73" s="43">
        <v>1475</v>
      </c>
      <c r="M73" s="43">
        <v>1765</v>
      </c>
      <c r="N73" s="42">
        <v>25.84</v>
      </c>
      <c r="O73" s="42">
        <v>8.6199999999999992</v>
      </c>
    </row>
    <row r="74" spans="1:15" ht="14.5" x14ac:dyDescent="0.3">
      <c r="A74" s="51"/>
      <c r="B74" s="41" t="s">
        <v>45</v>
      </c>
      <c r="C74" s="42">
        <v>52.69</v>
      </c>
      <c r="D74" s="42">
        <v>33.81</v>
      </c>
      <c r="E74" s="42">
        <v>82.41</v>
      </c>
      <c r="F74" s="42">
        <v>96.56</v>
      </c>
      <c r="G74" s="42">
        <v>54.3</v>
      </c>
      <c r="H74" s="42">
        <v>98.16</v>
      </c>
      <c r="I74" s="42">
        <v>96.86</v>
      </c>
      <c r="J74" s="43">
        <v>369</v>
      </c>
      <c r="K74" s="43">
        <v>0</v>
      </c>
      <c r="L74" s="43">
        <v>1910</v>
      </c>
      <c r="M74" s="43">
        <v>3049</v>
      </c>
      <c r="N74" s="42"/>
      <c r="O74" s="42">
        <v>12.17</v>
      </c>
    </row>
    <row r="75" spans="1:15" ht="14.5" x14ac:dyDescent="0.3">
      <c r="A75" s="51"/>
      <c r="B75" s="41" t="s">
        <v>47</v>
      </c>
      <c r="C75" s="42">
        <v>55.8</v>
      </c>
      <c r="D75" s="42">
        <v>35.4</v>
      </c>
      <c r="E75" s="42">
        <v>87.95</v>
      </c>
      <c r="F75" s="42">
        <v>95.65</v>
      </c>
      <c r="G75" s="42">
        <v>55.28</v>
      </c>
      <c r="H75" s="42">
        <v>98.5</v>
      </c>
      <c r="I75" s="42">
        <v>99.11</v>
      </c>
      <c r="J75" s="43">
        <v>356</v>
      </c>
      <c r="K75" s="43">
        <v>0</v>
      </c>
      <c r="L75" s="43">
        <v>1413</v>
      </c>
      <c r="M75" s="43">
        <v>2412</v>
      </c>
      <c r="N75" s="42"/>
      <c r="O75" s="42">
        <v>12.86</v>
      </c>
    </row>
    <row r="76" spans="1:15" ht="14.5" x14ac:dyDescent="0.3">
      <c r="A76" s="51"/>
      <c r="B76" s="41" t="s">
        <v>49</v>
      </c>
      <c r="C76" s="42">
        <v>61.53</v>
      </c>
      <c r="D76" s="42">
        <v>44.16</v>
      </c>
      <c r="E76" s="42">
        <v>85.45</v>
      </c>
      <c r="F76" s="42">
        <v>98.63</v>
      </c>
      <c r="G76" s="42">
        <v>62.02</v>
      </c>
      <c r="H76" s="42">
        <v>98.83</v>
      </c>
      <c r="I76" s="42">
        <v>99.8</v>
      </c>
      <c r="J76" s="43">
        <v>384</v>
      </c>
      <c r="K76" s="43">
        <v>0</v>
      </c>
      <c r="L76" s="43">
        <v>1407</v>
      </c>
      <c r="M76" s="43">
        <v>2364</v>
      </c>
      <c r="N76" s="42"/>
      <c r="O76" s="42">
        <v>13.57</v>
      </c>
    </row>
    <row r="77" spans="1:15" ht="15" thickBot="1" x14ac:dyDescent="0.35">
      <c r="A77" s="52"/>
      <c r="B77" s="4" t="s">
        <v>21</v>
      </c>
      <c r="C77" s="5">
        <v>62.15</v>
      </c>
      <c r="D77" s="5">
        <v>45.14</v>
      </c>
      <c r="E77" s="5">
        <v>85.73</v>
      </c>
      <c r="F77" s="5">
        <v>98.13</v>
      </c>
      <c r="G77" s="5">
        <v>61.59</v>
      </c>
      <c r="H77" s="5">
        <v>98.86</v>
      </c>
      <c r="I77" s="5">
        <v>99.79</v>
      </c>
      <c r="J77" s="6">
        <v>386</v>
      </c>
      <c r="K77" s="6">
        <v>1</v>
      </c>
      <c r="L77" s="6">
        <v>1377</v>
      </c>
      <c r="M77" s="6">
        <v>1957</v>
      </c>
      <c r="N77" s="5">
        <v>3.1</v>
      </c>
      <c r="O77" s="5">
        <v>9.91</v>
      </c>
    </row>
    <row r="78" spans="1:15" ht="16.5" x14ac:dyDescent="0.45">
      <c r="A78" s="48" t="s">
        <v>39</v>
      </c>
      <c r="B78" s="48"/>
      <c r="C78" s="48"/>
      <c r="D78" s="48"/>
      <c r="E78" s="48"/>
      <c r="F78" s="48"/>
      <c r="G78" s="22"/>
    </row>
  </sheetData>
  <mergeCells count="7">
    <mergeCell ref="A1:O1"/>
    <mergeCell ref="A78:F78"/>
    <mergeCell ref="A3:A17"/>
    <mergeCell ref="A18:A32"/>
    <mergeCell ref="A33:A47"/>
    <mergeCell ref="A48:A62"/>
    <mergeCell ref="A63:A77"/>
  </mergeCells>
  <phoneticPr fontId="1" type="noConversion"/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681A-F504-4EEC-828A-920E69E96C6D}">
  <dimension ref="A1:H82"/>
  <sheetViews>
    <sheetView topLeftCell="A43" zoomScale="115" zoomScaleNormal="115" workbookViewId="0">
      <selection activeCell="K19" sqref="K19"/>
    </sheetView>
  </sheetViews>
  <sheetFormatPr defaultRowHeight="14" x14ac:dyDescent="0.25"/>
  <cols>
    <col min="3" max="3" width="12.6328125" customWidth="1"/>
    <col min="4" max="8" width="10.6328125" customWidth="1"/>
  </cols>
  <sheetData>
    <row r="1" spans="1:8" ht="13.5" customHeight="1" x14ac:dyDescent="0.3">
      <c r="A1" s="23" t="s">
        <v>37</v>
      </c>
      <c r="B1" s="23"/>
      <c r="C1" s="23"/>
      <c r="D1" s="23"/>
      <c r="E1" s="23"/>
      <c r="F1" s="23"/>
      <c r="G1" s="23"/>
      <c r="H1" s="23"/>
    </row>
    <row r="2" spans="1:8" ht="15" thickBot="1" x14ac:dyDescent="0.35">
      <c r="A2" s="40" t="s">
        <v>26</v>
      </c>
      <c r="B2" s="40" t="s">
        <v>27</v>
      </c>
      <c r="C2" s="40" t="s">
        <v>30</v>
      </c>
      <c r="D2" s="40" t="s">
        <v>31</v>
      </c>
      <c r="E2" s="40" t="s">
        <v>32</v>
      </c>
      <c r="F2" s="40" t="s">
        <v>33</v>
      </c>
      <c r="G2" s="40" t="s">
        <v>34</v>
      </c>
      <c r="H2" s="40" t="s">
        <v>35</v>
      </c>
    </row>
    <row r="3" spans="1:8" ht="14.5" x14ac:dyDescent="0.3">
      <c r="A3" s="49" t="s">
        <v>25</v>
      </c>
      <c r="B3" s="49" t="s">
        <v>28</v>
      </c>
      <c r="C3" s="29" t="s">
        <v>12</v>
      </c>
      <c r="D3" s="30">
        <v>63.88</v>
      </c>
      <c r="E3" s="30">
        <v>58.3</v>
      </c>
      <c r="F3" s="30">
        <v>70.010000000000005</v>
      </c>
      <c r="G3" s="30">
        <v>81.52</v>
      </c>
      <c r="H3" s="30">
        <v>53.13</v>
      </c>
    </row>
    <row r="4" spans="1:8" ht="14.5" x14ac:dyDescent="0.3">
      <c r="A4" s="50"/>
      <c r="B4" s="50"/>
      <c r="C4" s="28" t="s">
        <v>13</v>
      </c>
      <c r="D4" s="27">
        <v>61.84</v>
      </c>
      <c r="E4" s="27">
        <v>55.3</v>
      </c>
      <c r="F4" s="27">
        <v>69.150000000000006</v>
      </c>
      <c r="G4" s="27">
        <v>81.05</v>
      </c>
      <c r="H4" s="27">
        <v>8.4499999999999993</v>
      </c>
    </row>
    <row r="5" spans="1:8" ht="14.5" x14ac:dyDescent="0.3">
      <c r="A5" s="50"/>
      <c r="B5" s="50"/>
      <c r="C5" s="28" t="s">
        <v>14</v>
      </c>
      <c r="D5" s="27">
        <v>61.17</v>
      </c>
      <c r="E5" s="27">
        <v>53.99</v>
      </c>
      <c r="F5" s="27">
        <v>69.319999999999993</v>
      </c>
      <c r="G5" s="27">
        <v>80.34</v>
      </c>
      <c r="H5" s="27">
        <v>248.69</v>
      </c>
    </row>
    <row r="6" spans="1:8" ht="14.5" x14ac:dyDescent="0.3">
      <c r="A6" s="50"/>
      <c r="B6" s="50"/>
      <c r="C6" s="28" t="s">
        <v>15</v>
      </c>
      <c r="D6" s="27">
        <v>68.290000000000006</v>
      </c>
      <c r="E6" s="27">
        <v>65.41</v>
      </c>
      <c r="F6" s="27">
        <v>71.31</v>
      </c>
      <c r="G6" s="27">
        <v>83.77</v>
      </c>
      <c r="H6" s="27">
        <v>6.37</v>
      </c>
    </row>
    <row r="7" spans="1:8" ht="14.5" x14ac:dyDescent="0.3">
      <c r="A7" s="50"/>
      <c r="B7" s="50"/>
      <c r="C7" s="28" t="s">
        <v>16</v>
      </c>
      <c r="D7" s="27">
        <v>68.319999999999993</v>
      </c>
      <c r="E7" s="27">
        <v>65.31</v>
      </c>
      <c r="F7" s="27">
        <v>71.489999999999995</v>
      </c>
      <c r="G7" s="27">
        <v>83.7</v>
      </c>
      <c r="H7" s="27">
        <v>6.34</v>
      </c>
    </row>
    <row r="8" spans="1:8" ht="14.5" x14ac:dyDescent="0.3">
      <c r="A8" s="50"/>
      <c r="B8" s="50"/>
      <c r="C8" s="28" t="s">
        <v>17</v>
      </c>
      <c r="D8" s="27">
        <v>69.17</v>
      </c>
      <c r="E8" s="27">
        <v>66.97</v>
      </c>
      <c r="F8" s="27">
        <v>71.45</v>
      </c>
      <c r="G8" s="27">
        <v>83.96</v>
      </c>
      <c r="H8" s="27">
        <v>60.58</v>
      </c>
    </row>
    <row r="9" spans="1:8" ht="14.5" x14ac:dyDescent="0.3">
      <c r="A9" s="50"/>
      <c r="B9" s="50"/>
      <c r="C9" s="28" t="s">
        <v>18</v>
      </c>
      <c r="D9" s="27">
        <v>62.72</v>
      </c>
      <c r="E9" s="27">
        <v>56.94</v>
      </c>
      <c r="F9" s="27">
        <v>69.08</v>
      </c>
      <c r="G9" s="27">
        <v>81.78</v>
      </c>
      <c r="H9" s="27">
        <v>16.3</v>
      </c>
    </row>
    <row r="10" spans="1:8" ht="14.5" x14ac:dyDescent="0.3">
      <c r="A10" s="50"/>
      <c r="B10" s="50"/>
      <c r="C10" s="28" t="s">
        <v>19</v>
      </c>
      <c r="D10" s="27">
        <v>67.69</v>
      </c>
      <c r="E10" s="27">
        <v>64.36</v>
      </c>
      <c r="F10" s="27">
        <v>71.209999999999994</v>
      </c>
      <c r="G10" s="27">
        <v>83.55</v>
      </c>
      <c r="H10" s="27"/>
    </row>
    <row r="11" spans="1:8" ht="14.5" x14ac:dyDescent="0.3">
      <c r="A11" s="50"/>
      <c r="B11" s="50"/>
      <c r="C11" s="28" t="s">
        <v>20</v>
      </c>
      <c r="D11" s="27">
        <v>68.08</v>
      </c>
      <c r="E11" s="27">
        <v>65</v>
      </c>
      <c r="F11" s="27">
        <v>71.290000000000006</v>
      </c>
      <c r="G11" s="27">
        <v>83.64</v>
      </c>
      <c r="H11" s="27"/>
    </row>
    <row r="12" spans="1:8" ht="15" thickBot="1" x14ac:dyDescent="0.35">
      <c r="A12" s="50"/>
      <c r="B12" s="52"/>
      <c r="C12" s="24" t="s">
        <v>21</v>
      </c>
      <c r="D12" s="25">
        <v>71.11</v>
      </c>
      <c r="E12" s="25">
        <v>70.73</v>
      </c>
      <c r="F12" s="25">
        <v>72.03</v>
      </c>
      <c r="G12" s="25">
        <v>84.79</v>
      </c>
      <c r="H12" s="25">
        <v>7.91</v>
      </c>
    </row>
    <row r="13" spans="1:8" ht="14.5" x14ac:dyDescent="0.3">
      <c r="A13" s="50"/>
      <c r="B13" s="49" t="s">
        <v>29</v>
      </c>
      <c r="C13" s="29" t="s">
        <v>12</v>
      </c>
      <c r="D13" s="30">
        <v>65.22</v>
      </c>
      <c r="E13" s="30">
        <v>64.05</v>
      </c>
      <c r="F13" s="30">
        <v>66.42</v>
      </c>
      <c r="G13" s="30">
        <v>81.849999999999994</v>
      </c>
      <c r="H13" s="30">
        <v>52.18</v>
      </c>
    </row>
    <row r="14" spans="1:8" ht="14.5" x14ac:dyDescent="0.3">
      <c r="A14" s="50"/>
      <c r="B14" s="50"/>
      <c r="C14" s="28" t="s">
        <v>13</v>
      </c>
      <c r="D14" s="27">
        <v>63.26</v>
      </c>
      <c r="E14" s="27">
        <v>61.06</v>
      </c>
      <c r="F14" s="27">
        <v>65.56</v>
      </c>
      <c r="G14" s="27">
        <v>81.38</v>
      </c>
      <c r="H14" s="27">
        <v>7.47</v>
      </c>
    </row>
    <row r="15" spans="1:8" ht="14.5" x14ac:dyDescent="0.3">
      <c r="A15" s="50"/>
      <c r="B15" s="50"/>
      <c r="C15" s="28" t="s">
        <v>14</v>
      </c>
      <c r="D15" s="27">
        <v>62.66</v>
      </c>
      <c r="E15" s="27">
        <v>59.74</v>
      </c>
      <c r="F15" s="27">
        <v>65.73</v>
      </c>
      <c r="G15" s="27">
        <v>80.66</v>
      </c>
      <c r="H15" s="27">
        <v>244.49</v>
      </c>
    </row>
    <row r="16" spans="1:8" ht="14.5" x14ac:dyDescent="0.3">
      <c r="A16" s="50"/>
      <c r="B16" s="50"/>
      <c r="C16" s="28" t="s">
        <v>15</v>
      </c>
      <c r="D16" s="27">
        <v>69.400000000000006</v>
      </c>
      <c r="E16" s="27">
        <v>71.14</v>
      </c>
      <c r="F16" s="27">
        <v>67.72</v>
      </c>
      <c r="G16" s="27">
        <v>84.1</v>
      </c>
      <c r="H16" s="27">
        <v>5.77</v>
      </c>
    </row>
    <row r="17" spans="1:8" ht="14.5" x14ac:dyDescent="0.3">
      <c r="A17" s="50"/>
      <c r="B17" s="50"/>
      <c r="C17" s="28" t="s">
        <v>16</v>
      </c>
      <c r="D17" s="27">
        <v>69.45</v>
      </c>
      <c r="E17" s="27">
        <v>71.040000000000006</v>
      </c>
      <c r="F17" s="27">
        <v>67.900000000000006</v>
      </c>
      <c r="G17" s="27">
        <v>84.03</v>
      </c>
      <c r="H17" s="27">
        <v>5.79</v>
      </c>
    </row>
    <row r="18" spans="1:8" ht="14.5" x14ac:dyDescent="0.3">
      <c r="A18" s="50"/>
      <c r="B18" s="50"/>
      <c r="C18" s="28" t="s">
        <v>17</v>
      </c>
      <c r="D18" s="27">
        <v>70.239999999999995</v>
      </c>
      <c r="E18" s="27">
        <v>72.7</v>
      </c>
      <c r="F18" s="27">
        <v>67.87</v>
      </c>
      <c r="G18" s="27">
        <v>84.28</v>
      </c>
      <c r="H18" s="27">
        <v>58.16</v>
      </c>
    </row>
    <row r="19" spans="1:8" ht="14.5" x14ac:dyDescent="0.3">
      <c r="A19" s="50"/>
      <c r="B19" s="50"/>
      <c r="C19" s="28" t="s">
        <v>18</v>
      </c>
      <c r="D19" s="27">
        <v>64.08</v>
      </c>
      <c r="E19" s="27">
        <v>62.69</v>
      </c>
      <c r="F19" s="27">
        <v>65.489999999999995</v>
      </c>
      <c r="G19" s="27">
        <v>82.1</v>
      </c>
      <c r="H19" s="27">
        <v>15.19</v>
      </c>
    </row>
    <row r="20" spans="1:8" ht="14.5" x14ac:dyDescent="0.3">
      <c r="A20" s="50"/>
      <c r="B20" s="50"/>
      <c r="C20" s="28" t="s">
        <v>19</v>
      </c>
      <c r="D20" s="27">
        <v>68.84</v>
      </c>
      <c r="E20" s="27">
        <v>70.09</v>
      </c>
      <c r="F20" s="27">
        <v>67.63</v>
      </c>
      <c r="G20" s="27">
        <v>83.88</v>
      </c>
      <c r="H20" s="27"/>
    </row>
    <row r="21" spans="1:8" ht="14.5" x14ac:dyDescent="0.3">
      <c r="A21" s="50"/>
      <c r="B21" s="50"/>
      <c r="C21" s="28" t="s">
        <v>20</v>
      </c>
      <c r="D21" s="27">
        <v>69.209999999999994</v>
      </c>
      <c r="E21" s="27">
        <v>70.739999999999995</v>
      </c>
      <c r="F21" s="27">
        <v>67.709999999999994</v>
      </c>
      <c r="G21" s="27">
        <v>83.97</v>
      </c>
      <c r="H21" s="27"/>
    </row>
    <row r="22" spans="1:8" ht="15" thickBot="1" x14ac:dyDescent="0.35">
      <c r="A22" s="52"/>
      <c r="B22" s="52"/>
      <c r="C22" s="24" t="s">
        <v>21</v>
      </c>
      <c r="D22" s="25">
        <v>71.989999999999995</v>
      </c>
      <c r="E22" s="25">
        <v>76.45</v>
      </c>
      <c r="F22" s="25">
        <v>68.45</v>
      </c>
      <c r="G22" s="25">
        <v>85.12</v>
      </c>
      <c r="H22" s="25">
        <v>6.12</v>
      </c>
    </row>
    <row r="23" spans="1:8" ht="14.5" x14ac:dyDescent="0.3">
      <c r="A23" s="58" t="s">
        <v>36</v>
      </c>
      <c r="B23" s="58" t="s">
        <v>28</v>
      </c>
      <c r="C23" s="31" t="s">
        <v>12</v>
      </c>
      <c r="D23" s="32">
        <v>65.78</v>
      </c>
      <c r="E23" s="32">
        <v>58.55</v>
      </c>
      <c r="F23" s="32">
        <v>73.930000000000007</v>
      </c>
      <c r="G23" s="32">
        <v>84.44</v>
      </c>
      <c r="H23" s="32">
        <v>53.2</v>
      </c>
    </row>
    <row r="24" spans="1:8" ht="14.5" x14ac:dyDescent="0.3">
      <c r="A24" s="54"/>
      <c r="B24" s="54"/>
      <c r="C24" s="33" t="s">
        <v>13</v>
      </c>
      <c r="D24" s="34">
        <v>63.54</v>
      </c>
      <c r="E24" s="34">
        <v>55.08</v>
      </c>
      <c r="F24" s="34">
        <v>73.31</v>
      </c>
      <c r="G24" s="34">
        <v>84.04</v>
      </c>
      <c r="H24" s="34">
        <v>8.44</v>
      </c>
    </row>
    <row r="25" spans="1:8" ht="14.5" x14ac:dyDescent="0.3">
      <c r="A25" s="54"/>
      <c r="B25" s="54"/>
      <c r="C25" s="33" t="s">
        <v>14</v>
      </c>
      <c r="D25" s="34">
        <v>63.23</v>
      </c>
      <c r="E25" s="34">
        <v>54.44</v>
      </c>
      <c r="F25" s="34">
        <v>73.44</v>
      </c>
      <c r="G25" s="34">
        <v>83.24</v>
      </c>
      <c r="H25" s="34">
        <v>248.66</v>
      </c>
    </row>
    <row r="26" spans="1:8" ht="14.5" x14ac:dyDescent="0.3">
      <c r="A26" s="54"/>
      <c r="B26" s="54"/>
      <c r="C26" s="33" t="s">
        <v>15</v>
      </c>
      <c r="D26" s="34">
        <v>70.3</v>
      </c>
      <c r="E26" s="34">
        <v>65.290000000000006</v>
      </c>
      <c r="F26" s="34">
        <v>75.680000000000007</v>
      </c>
      <c r="G26" s="34">
        <v>87.02</v>
      </c>
      <c r="H26" s="34">
        <v>6.52</v>
      </c>
    </row>
    <row r="27" spans="1:8" ht="14.5" x14ac:dyDescent="0.3">
      <c r="A27" s="54"/>
      <c r="B27" s="54"/>
      <c r="C27" s="33" t="s">
        <v>16</v>
      </c>
      <c r="D27" s="34">
        <v>70.239999999999995</v>
      </c>
      <c r="E27" s="34">
        <v>65.12</v>
      </c>
      <c r="F27" s="34">
        <v>75.75</v>
      </c>
      <c r="G27" s="34">
        <v>86.86</v>
      </c>
      <c r="H27" s="34">
        <v>6.44</v>
      </c>
    </row>
    <row r="28" spans="1:8" ht="14.5" x14ac:dyDescent="0.3">
      <c r="A28" s="54"/>
      <c r="B28" s="54"/>
      <c r="C28" s="33" t="s">
        <v>17</v>
      </c>
      <c r="D28" s="34">
        <v>71.03</v>
      </c>
      <c r="E28" s="34">
        <v>66.7</v>
      </c>
      <c r="F28" s="34">
        <v>75.64</v>
      </c>
      <c r="G28" s="34">
        <v>87.13</v>
      </c>
      <c r="H28" s="34">
        <v>60.73</v>
      </c>
    </row>
    <row r="29" spans="1:8" ht="14.5" x14ac:dyDescent="0.3">
      <c r="A29" s="54"/>
      <c r="B29" s="54"/>
      <c r="C29" s="33" t="s">
        <v>18</v>
      </c>
      <c r="D29" s="34">
        <v>64.599999999999994</v>
      </c>
      <c r="E29" s="34">
        <v>56.78</v>
      </c>
      <c r="F29" s="34">
        <v>73.489999999999995</v>
      </c>
      <c r="G29" s="34">
        <v>85.04</v>
      </c>
      <c r="H29" s="34">
        <v>16.489999999999998</v>
      </c>
    </row>
    <row r="30" spans="1:8" ht="14.5" x14ac:dyDescent="0.3">
      <c r="A30" s="54"/>
      <c r="B30" s="54"/>
      <c r="C30" s="33" t="s">
        <v>19</v>
      </c>
      <c r="D30" s="34">
        <v>69.84</v>
      </c>
      <c r="E30" s="34">
        <v>64.5</v>
      </c>
      <c r="F30" s="34">
        <v>75.64</v>
      </c>
      <c r="G30" s="34">
        <v>86.67</v>
      </c>
      <c r="H30" s="34"/>
    </row>
    <row r="31" spans="1:8" ht="14.5" x14ac:dyDescent="0.3">
      <c r="A31" s="54"/>
      <c r="B31" s="54"/>
      <c r="C31" s="33" t="s">
        <v>20</v>
      </c>
      <c r="D31" s="34">
        <v>70.099999999999994</v>
      </c>
      <c r="E31" s="34">
        <v>65.040000000000006</v>
      </c>
      <c r="F31" s="34">
        <v>75.540000000000006</v>
      </c>
      <c r="G31" s="34">
        <v>86.78</v>
      </c>
      <c r="H31" s="34"/>
    </row>
    <row r="32" spans="1:8" ht="15" thickBot="1" x14ac:dyDescent="0.35">
      <c r="A32" s="54"/>
      <c r="B32" s="56"/>
      <c r="C32" s="35" t="s">
        <v>21</v>
      </c>
      <c r="D32" s="36">
        <v>73.33</v>
      </c>
      <c r="E32" s="36">
        <v>70.760000000000005</v>
      </c>
      <c r="F32" s="36">
        <v>76.28</v>
      </c>
      <c r="G32" s="36">
        <v>87.82</v>
      </c>
      <c r="H32" s="36">
        <v>7.98</v>
      </c>
    </row>
    <row r="33" spans="1:8" ht="14.5" x14ac:dyDescent="0.3">
      <c r="A33" s="54"/>
      <c r="B33" s="53" t="s">
        <v>29</v>
      </c>
      <c r="C33" s="37" t="s">
        <v>12</v>
      </c>
      <c r="D33" s="38">
        <v>68.39</v>
      </c>
      <c r="E33" s="38">
        <v>50.96</v>
      </c>
      <c r="F33" s="38">
        <v>91.8</v>
      </c>
      <c r="G33" s="38">
        <v>87.05</v>
      </c>
      <c r="H33" s="38">
        <v>52.21</v>
      </c>
    </row>
    <row r="34" spans="1:8" ht="14.5" x14ac:dyDescent="0.3">
      <c r="A34" s="54"/>
      <c r="B34" s="54"/>
      <c r="C34" s="33" t="s">
        <v>13</v>
      </c>
      <c r="D34" s="34">
        <v>65.790000000000006</v>
      </c>
      <c r="E34" s="34">
        <v>47.46</v>
      </c>
      <c r="F34" s="34">
        <v>91.19</v>
      </c>
      <c r="G34" s="34">
        <v>86.65</v>
      </c>
      <c r="H34" s="34">
        <v>7.45</v>
      </c>
    </row>
    <row r="35" spans="1:8" ht="14.5" x14ac:dyDescent="0.3">
      <c r="A35" s="54"/>
      <c r="B35" s="54"/>
      <c r="C35" s="33" t="s">
        <v>14</v>
      </c>
      <c r="D35" s="34">
        <v>65.39</v>
      </c>
      <c r="E35" s="34">
        <v>46.82</v>
      </c>
      <c r="F35" s="34">
        <v>91.33</v>
      </c>
      <c r="G35" s="34">
        <v>85.86</v>
      </c>
      <c r="H35" s="34">
        <v>244.4</v>
      </c>
    </row>
    <row r="36" spans="1:8" ht="14.5" x14ac:dyDescent="0.3">
      <c r="A36" s="54"/>
      <c r="B36" s="54"/>
      <c r="C36" s="33" t="s">
        <v>15</v>
      </c>
      <c r="D36" s="34">
        <v>73.510000000000005</v>
      </c>
      <c r="E36" s="34">
        <v>57.78</v>
      </c>
      <c r="F36" s="34">
        <v>93.52</v>
      </c>
      <c r="G36" s="34">
        <v>89.6</v>
      </c>
      <c r="H36" s="34">
        <v>5.9</v>
      </c>
    </row>
    <row r="37" spans="1:8" ht="14.5" x14ac:dyDescent="0.3">
      <c r="A37" s="54"/>
      <c r="B37" s="54"/>
      <c r="C37" s="33" t="s">
        <v>16</v>
      </c>
      <c r="D37" s="34">
        <v>73.430000000000007</v>
      </c>
      <c r="E37" s="34">
        <v>57.6</v>
      </c>
      <c r="F37" s="34">
        <v>93.59</v>
      </c>
      <c r="G37" s="34">
        <v>89.44</v>
      </c>
      <c r="H37" s="34">
        <v>5.87</v>
      </c>
    </row>
    <row r="38" spans="1:8" ht="14.5" x14ac:dyDescent="0.3">
      <c r="A38" s="54"/>
      <c r="B38" s="54"/>
      <c r="C38" s="33" t="s">
        <v>17</v>
      </c>
      <c r="D38" s="34">
        <v>74.39</v>
      </c>
      <c r="E38" s="34">
        <v>59.2</v>
      </c>
      <c r="F38" s="34">
        <v>93.48</v>
      </c>
      <c r="G38" s="34">
        <v>89.71</v>
      </c>
      <c r="H38" s="34">
        <v>58.29</v>
      </c>
    </row>
    <row r="39" spans="1:8" ht="14.5" x14ac:dyDescent="0.3">
      <c r="A39" s="54"/>
      <c r="B39" s="54"/>
      <c r="C39" s="33" t="s">
        <v>18</v>
      </c>
      <c r="D39" s="34">
        <v>67.040000000000006</v>
      </c>
      <c r="E39" s="34">
        <v>49.18</v>
      </c>
      <c r="F39" s="34">
        <v>91.38</v>
      </c>
      <c r="G39" s="34">
        <v>87.64</v>
      </c>
      <c r="H39" s="34">
        <v>15.35</v>
      </c>
    </row>
    <row r="40" spans="1:8" ht="14.5" x14ac:dyDescent="0.3">
      <c r="A40" s="54"/>
      <c r="B40" s="54"/>
      <c r="C40" s="33" t="s">
        <v>19</v>
      </c>
      <c r="D40" s="34">
        <v>72.97</v>
      </c>
      <c r="E40" s="34">
        <v>56.98</v>
      </c>
      <c r="F40" s="34">
        <v>93.48</v>
      </c>
      <c r="G40" s="34">
        <v>89.25</v>
      </c>
      <c r="H40" s="34"/>
    </row>
    <row r="41" spans="1:8" ht="14.5" x14ac:dyDescent="0.3">
      <c r="A41" s="54"/>
      <c r="B41" s="54"/>
      <c r="C41" s="33" t="s">
        <v>20</v>
      </c>
      <c r="D41" s="34">
        <v>73.290000000000006</v>
      </c>
      <c r="E41" s="34">
        <v>57.52</v>
      </c>
      <c r="F41" s="34">
        <v>93.38</v>
      </c>
      <c r="G41" s="34">
        <v>89.36</v>
      </c>
      <c r="H41" s="34"/>
    </row>
    <row r="42" spans="1:8" ht="15" thickBot="1" x14ac:dyDescent="0.35">
      <c r="A42" s="56"/>
      <c r="B42" s="56"/>
      <c r="C42" s="35" t="s">
        <v>21</v>
      </c>
      <c r="D42" s="36">
        <v>77.180000000000007</v>
      </c>
      <c r="E42" s="36">
        <v>63.3</v>
      </c>
      <c r="F42" s="36">
        <v>94.11</v>
      </c>
      <c r="G42" s="36">
        <v>90.39</v>
      </c>
      <c r="H42" s="36">
        <v>6.17</v>
      </c>
    </row>
    <row r="43" spans="1:8" ht="14.5" x14ac:dyDescent="0.3">
      <c r="A43" s="57" t="s">
        <v>40</v>
      </c>
      <c r="B43" s="57" t="s">
        <v>28</v>
      </c>
      <c r="C43" s="26" t="s">
        <v>12</v>
      </c>
      <c r="D43" s="39">
        <v>65.89</v>
      </c>
      <c r="E43" s="39">
        <v>58.39</v>
      </c>
      <c r="F43" s="39">
        <v>74.34</v>
      </c>
      <c r="G43" s="39">
        <v>82.09</v>
      </c>
      <c r="H43" s="39">
        <v>51.81</v>
      </c>
    </row>
    <row r="44" spans="1:8" ht="14.5" x14ac:dyDescent="0.3">
      <c r="A44" s="50"/>
      <c r="B44" s="50"/>
      <c r="C44" s="28" t="s">
        <v>13</v>
      </c>
      <c r="D44" s="27">
        <v>63.61</v>
      </c>
      <c r="E44" s="27">
        <v>55.29</v>
      </c>
      <c r="F44" s="27">
        <v>73.2</v>
      </c>
      <c r="G44" s="27">
        <v>81.63</v>
      </c>
      <c r="H44" s="27">
        <v>8.9600000000000009</v>
      </c>
    </row>
    <row r="45" spans="1:8" ht="14.5" x14ac:dyDescent="0.3">
      <c r="A45" s="50"/>
      <c r="B45" s="50"/>
      <c r="C45" s="28" t="s">
        <v>14</v>
      </c>
      <c r="D45" s="27">
        <v>63.24</v>
      </c>
      <c r="E45" s="27">
        <v>54.35</v>
      </c>
      <c r="F45" s="27">
        <v>73.569999999999993</v>
      </c>
      <c r="G45" s="27">
        <v>80.849999999999994</v>
      </c>
      <c r="H45" s="27">
        <v>246.87</v>
      </c>
    </row>
    <row r="46" spans="1:8" ht="14.5" x14ac:dyDescent="0.3">
      <c r="A46" s="50"/>
      <c r="B46" s="50"/>
      <c r="C46" s="28" t="s">
        <v>15</v>
      </c>
      <c r="D46" s="27">
        <v>70.34</v>
      </c>
      <c r="E46" s="27">
        <v>65.23</v>
      </c>
      <c r="F46" s="27">
        <v>75.84</v>
      </c>
      <c r="G46" s="27">
        <v>84.55</v>
      </c>
      <c r="H46" s="27">
        <v>6.51</v>
      </c>
    </row>
    <row r="47" spans="1:8" ht="14.5" x14ac:dyDescent="0.3">
      <c r="A47" s="50"/>
      <c r="B47" s="50"/>
      <c r="C47" s="28" t="s">
        <v>16</v>
      </c>
      <c r="D47" s="27">
        <v>70.3</v>
      </c>
      <c r="E47" s="27">
        <v>65.239999999999995</v>
      </c>
      <c r="F47" s="27">
        <v>75.77</v>
      </c>
      <c r="G47" s="27">
        <v>84.43</v>
      </c>
      <c r="H47" s="27">
        <v>6.17</v>
      </c>
    </row>
    <row r="48" spans="1:8" ht="14.5" x14ac:dyDescent="0.3">
      <c r="A48" s="50"/>
      <c r="B48" s="50"/>
      <c r="C48" s="28" t="s">
        <v>17</v>
      </c>
      <c r="D48" s="27">
        <v>71.260000000000005</v>
      </c>
      <c r="E48" s="27">
        <v>66.83</v>
      </c>
      <c r="F48" s="27">
        <v>75.98</v>
      </c>
      <c r="G48" s="27">
        <v>84.76</v>
      </c>
      <c r="H48" s="27">
        <v>59.77</v>
      </c>
    </row>
    <row r="49" spans="1:8" ht="14.5" x14ac:dyDescent="0.3">
      <c r="A49" s="50"/>
      <c r="B49" s="50"/>
      <c r="C49" s="28" t="s">
        <v>18</v>
      </c>
      <c r="D49" s="27">
        <v>64.59</v>
      </c>
      <c r="E49" s="27">
        <v>56.79</v>
      </c>
      <c r="F49" s="27">
        <v>73.45</v>
      </c>
      <c r="G49" s="27">
        <v>82.56</v>
      </c>
      <c r="H49" s="27">
        <v>16.39</v>
      </c>
    </row>
    <row r="50" spans="1:8" ht="14.5" x14ac:dyDescent="0.3">
      <c r="A50" s="50"/>
      <c r="B50" s="50"/>
      <c r="C50" s="28" t="s">
        <v>19</v>
      </c>
      <c r="D50" s="27">
        <v>69.75</v>
      </c>
      <c r="E50" s="27">
        <v>64.14</v>
      </c>
      <c r="F50" s="27">
        <v>75.849999999999994</v>
      </c>
      <c r="G50" s="27">
        <v>84.34</v>
      </c>
      <c r="H50" s="27"/>
    </row>
    <row r="51" spans="1:8" ht="14.5" x14ac:dyDescent="0.3">
      <c r="A51" s="50"/>
      <c r="B51" s="50"/>
      <c r="C51" s="28" t="s">
        <v>20</v>
      </c>
      <c r="D51" s="27">
        <v>70.099999999999994</v>
      </c>
      <c r="E51" s="27">
        <v>64.81</v>
      </c>
      <c r="F51" s="27">
        <v>75.84</v>
      </c>
      <c r="G51" s="27">
        <v>84.33</v>
      </c>
      <c r="H51" s="27"/>
    </row>
    <row r="52" spans="1:8" ht="15" thickBot="1" x14ac:dyDescent="0.35">
      <c r="A52" s="50"/>
      <c r="B52" s="52"/>
      <c r="C52" s="24" t="s">
        <v>21</v>
      </c>
      <c r="D52" s="25">
        <v>73.31</v>
      </c>
      <c r="E52" s="25">
        <v>70.67</v>
      </c>
      <c r="F52" s="25">
        <v>76.37</v>
      </c>
      <c r="G52" s="25">
        <v>85.42</v>
      </c>
      <c r="H52" s="25">
        <v>7.2</v>
      </c>
    </row>
    <row r="53" spans="1:8" ht="14.5" x14ac:dyDescent="0.3">
      <c r="A53" s="50"/>
      <c r="B53" s="49" t="s">
        <v>29</v>
      </c>
      <c r="C53" s="29" t="s">
        <v>12</v>
      </c>
      <c r="D53" s="30">
        <v>68.3</v>
      </c>
      <c r="E53" s="30">
        <v>60.07</v>
      </c>
      <c r="F53" s="30">
        <v>77.66</v>
      </c>
      <c r="G53" s="30">
        <v>83.27</v>
      </c>
      <c r="H53" s="30">
        <v>49.15</v>
      </c>
    </row>
    <row r="54" spans="1:8" ht="14.5" x14ac:dyDescent="0.3">
      <c r="A54" s="50"/>
      <c r="B54" s="50"/>
      <c r="C54" s="28" t="s">
        <v>13</v>
      </c>
      <c r="D54" s="27">
        <v>66.02</v>
      </c>
      <c r="E54" s="27">
        <v>56.96</v>
      </c>
      <c r="F54" s="27">
        <v>76.52</v>
      </c>
      <c r="G54" s="27">
        <v>82.81</v>
      </c>
      <c r="H54" s="27">
        <v>8.08</v>
      </c>
    </row>
    <row r="55" spans="1:8" ht="14.5" x14ac:dyDescent="0.3">
      <c r="A55" s="50"/>
      <c r="B55" s="50"/>
      <c r="C55" s="28" t="s">
        <v>14</v>
      </c>
      <c r="D55" s="27">
        <v>65.64</v>
      </c>
      <c r="E55" s="27">
        <v>56.02</v>
      </c>
      <c r="F55" s="27">
        <v>76.89</v>
      </c>
      <c r="G55" s="27">
        <v>82.03</v>
      </c>
      <c r="H55" s="27">
        <v>243.09</v>
      </c>
    </row>
    <row r="56" spans="1:8" ht="14.5" x14ac:dyDescent="0.3">
      <c r="A56" s="50"/>
      <c r="B56" s="50"/>
      <c r="C56" s="28" t="s">
        <v>15</v>
      </c>
      <c r="D56" s="27">
        <v>72.790000000000006</v>
      </c>
      <c r="E56" s="27">
        <v>66.92</v>
      </c>
      <c r="F56" s="27">
        <v>79.150000000000006</v>
      </c>
      <c r="G56" s="27">
        <v>85.72</v>
      </c>
      <c r="H56" s="27">
        <v>6.18</v>
      </c>
    </row>
    <row r="57" spans="1:8" ht="14.5" x14ac:dyDescent="0.3">
      <c r="A57" s="50"/>
      <c r="B57" s="50"/>
      <c r="C57" s="28" t="s">
        <v>16</v>
      </c>
      <c r="D57" s="27">
        <v>72.75</v>
      </c>
      <c r="E57" s="27">
        <v>66.930000000000007</v>
      </c>
      <c r="F57" s="27">
        <v>79.08</v>
      </c>
      <c r="G57" s="27">
        <v>85.61</v>
      </c>
      <c r="H57" s="27">
        <v>5.88</v>
      </c>
    </row>
    <row r="58" spans="1:8" ht="14.5" x14ac:dyDescent="0.3">
      <c r="A58" s="50"/>
      <c r="B58" s="50"/>
      <c r="C58" s="28" t="s">
        <v>17</v>
      </c>
      <c r="D58" s="27">
        <v>73.709999999999994</v>
      </c>
      <c r="E58" s="27">
        <v>68.53</v>
      </c>
      <c r="F58" s="27">
        <v>79.3</v>
      </c>
      <c r="G58" s="27">
        <v>85.93</v>
      </c>
      <c r="H58" s="27">
        <v>57.59</v>
      </c>
    </row>
    <row r="59" spans="1:8" ht="14.5" x14ac:dyDescent="0.3">
      <c r="A59" s="50"/>
      <c r="B59" s="50"/>
      <c r="C59" s="28" t="s">
        <v>18</v>
      </c>
      <c r="D59" s="27">
        <v>67</v>
      </c>
      <c r="E59" s="27">
        <v>58.47</v>
      </c>
      <c r="F59" s="27">
        <v>76.77</v>
      </c>
      <c r="G59" s="27">
        <v>83.74</v>
      </c>
      <c r="H59" s="27">
        <v>15.49</v>
      </c>
    </row>
    <row r="60" spans="1:8" ht="14.5" x14ac:dyDescent="0.3">
      <c r="A60" s="50"/>
      <c r="B60" s="50"/>
      <c r="C60" s="28" t="s">
        <v>19</v>
      </c>
      <c r="D60" s="27">
        <v>72.19</v>
      </c>
      <c r="E60" s="27">
        <v>65.83</v>
      </c>
      <c r="F60" s="27">
        <v>79.16</v>
      </c>
      <c r="G60" s="27">
        <v>85.51</v>
      </c>
      <c r="H60" s="27"/>
    </row>
    <row r="61" spans="1:8" ht="14.5" x14ac:dyDescent="0.3">
      <c r="A61" s="50"/>
      <c r="B61" s="50"/>
      <c r="C61" s="28" t="s">
        <v>20</v>
      </c>
      <c r="D61" s="27">
        <v>72.540000000000006</v>
      </c>
      <c r="E61" s="27">
        <v>66.5</v>
      </c>
      <c r="F61" s="27">
        <v>79.150000000000006</v>
      </c>
      <c r="G61" s="27">
        <v>85.5</v>
      </c>
      <c r="H61" s="27"/>
    </row>
    <row r="62" spans="1:8" ht="15" thickBot="1" x14ac:dyDescent="0.35">
      <c r="A62" s="52"/>
      <c r="B62" s="52"/>
      <c r="C62" s="24" t="s">
        <v>21</v>
      </c>
      <c r="D62" s="25">
        <v>75.84</v>
      </c>
      <c r="E62" s="25">
        <v>72.37</v>
      </c>
      <c r="F62" s="25">
        <v>79.680000000000007</v>
      </c>
      <c r="G62" s="25">
        <v>86.59</v>
      </c>
      <c r="H62" s="25">
        <v>5.59</v>
      </c>
    </row>
    <row r="63" spans="1:8" ht="14.5" x14ac:dyDescent="0.3">
      <c r="A63" s="58" t="s">
        <v>38</v>
      </c>
      <c r="B63" s="58" t="s">
        <v>28</v>
      </c>
      <c r="C63" s="31" t="s">
        <v>12</v>
      </c>
      <c r="D63" s="32">
        <v>63.31</v>
      </c>
      <c r="E63" s="32">
        <v>57.56</v>
      </c>
      <c r="F63" s="32">
        <v>69.62</v>
      </c>
      <c r="G63" s="32">
        <v>81.44</v>
      </c>
      <c r="H63" s="32">
        <v>52.43</v>
      </c>
    </row>
    <row r="64" spans="1:8" ht="14.5" x14ac:dyDescent="0.3">
      <c r="A64" s="54"/>
      <c r="B64" s="54"/>
      <c r="C64" s="33" t="s">
        <v>13</v>
      </c>
      <c r="D64" s="34">
        <v>61.29</v>
      </c>
      <c r="E64" s="34">
        <v>54.48</v>
      </c>
      <c r="F64" s="34">
        <v>68.97</v>
      </c>
      <c r="G64" s="34">
        <v>80.69</v>
      </c>
      <c r="H64" s="34">
        <v>8.1</v>
      </c>
    </row>
    <row r="65" spans="1:8" ht="14.5" x14ac:dyDescent="0.3">
      <c r="A65" s="54"/>
      <c r="B65" s="54"/>
      <c r="C65" s="33" t="s">
        <v>14</v>
      </c>
      <c r="D65" s="34">
        <v>60.64</v>
      </c>
      <c r="E65" s="34">
        <v>53.32</v>
      </c>
      <c r="F65" s="34">
        <v>68.959999999999994</v>
      </c>
      <c r="G65" s="34">
        <v>80.040000000000006</v>
      </c>
      <c r="H65" s="34">
        <v>237.78</v>
      </c>
    </row>
    <row r="66" spans="1:8" ht="14.5" x14ac:dyDescent="0.3">
      <c r="A66" s="54"/>
      <c r="B66" s="54"/>
      <c r="C66" s="33" t="s">
        <v>15</v>
      </c>
      <c r="D66" s="34">
        <v>67.239999999999995</v>
      </c>
      <c r="E66" s="34">
        <v>63.39</v>
      </c>
      <c r="F66" s="34">
        <v>71.33</v>
      </c>
      <c r="G66" s="34">
        <v>83.64</v>
      </c>
      <c r="H66" s="34">
        <v>7.05</v>
      </c>
    </row>
    <row r="67" spans="1:8" ht="14.5" x14ac:dyDescent="0.3">
      <c r="A67" s="54"/>
      <c r="B67" s="54"/>
      <c r="C67" s="33" t="s">
        <v>16</v>
      </c>
      <c r="D67" s="34">
        <v>66.95</v>
      </c>
      <c r="E67" s="34">
        <v>62.84</v>
      </c>
      <c r="F67" s="34">
        <v>71.31</v>
      </c>
      <c r="G67" s="34">
        <v>83.55</v>
      </c>
      <c r="H67" s="34">
        <v>6.57</v>
      </c>
    </row>
    <row r="68" spans="1:8" ht="14.5" x14ac:dyDescent="0.3">
      <c r="A68" s="54"/>
      <c r="B68" s="54"/>
      <c r="C68" s="33" t="s">
        <v>17</v>
      </c>
      <c r="D68" s="34">
        <v>68.150000000000006</v>
      </c>
      <c r="E68" s="34">
        <v>65.099999999999994</v>
      </c>
      <c r="F68" s="34">
        <v>71.36</v>
      </c>
      <c r="G68" s="34">
        <v>83.83</v>
      </c>
      <c r="H68" s="34">
        <v>60.27</v>
      </c>
    </row>
    <row r="69" spans="1:8" ht="14.5" x14ac:dyDescent="0.3">
      <c r="A69" s="54"/>
      <c r="B69" s="54"/>
      <c r="C69" s="33" t="s">
        <v>18</v>
      </c>
      <c r="D69" s="34">
        <v>61.88</v>
      </c>
      <c r="E69" s="34">
        <v>55.46</v>
      </c>
      <c r="F69" s="34">
        <v>69.069999999999993</v>
      </c>
      <c r="G69" s="34">
        <v>81.67</v>
      </c>
      <c r="H69" s="34">
        <v>15.93</v>
      </c>
    </row>
    <row r="70" spans="1:8" ht="14.5" x14ac:dyDescent="0.3">
      <c r="A70" s="54"/>
      <c r="B70" s="54"/>
      <c r="C70" s="33" t="s">
        <v>19</v>
      </c>
      <c r="D70" s="34">
        <v>66.48</v>
      </c>
      <c r="E70" s="34">
        <v>62.11</v>
      </c>
      <c r="F70" s="34">
        <v>71.17</v>
      </c>
      <c r="G70" s="34">
        <v>83.28</v>
      </c>
      <c r="H70" s="34"/>
    </row>
    <row r="71" spans="1:8" ht="14.5" x14ac:dyDescent="0.3">
      <c r="A71" s="54"/>
      <c r="B71" s="54"/>
      <c r="C71" s="33" t="s">
        <v>20</v>
      </c>
      <c r="D71" s="34">
        <v>66.64</v>
      </c>
      <c r="E71" s="34">
        <v>62.33</v>
      </c>
      <c r="F71" s="34">
        <v>71.28</v>
      </c>
      <c r="G71" s="34">
        <v>83.33</v>
      </c>
      <c r="H71" s="34"/>
    </row>
    <row r="72" spans="1:8" ht="15" thickBot="1" x14ac:dyDescent="0.35">
      <c r="A72" s="54"/>
      <c r="B72" s="56"/>
      <c r="C72" s="35" t="s">
        <v>21</v>
      </c>
      <c r="D72" s="36">
        <v>70.94</v>
      </c>
      <c r="E72" s="36">
        <v>70.349999999999994</v>
      </c>
      <c r="F72" s="36">
        <v>72.09</v>
      </c>
      <c r="G72" s="36">
        <v>84.77</v>
      </c>
      <c r="H72" s="36">
        <v>7.53</v>
      </c>
    </row>
    <row r="73" spans="1:8" ht="14.5" x14ac:dyDescent="0.3">
      <c r="A73" s="54"/>
      <c r="B73" s="53" t="s">
        <v>29</v>
      </c>
      <c r="C73" s="37" t="s">
        <v>12</v>
      </c>
      <c r="D73" s="38">
        <v>63.95</v>
      </c>
      <c r="E73" s="38">
        <v>57.95</v>
      </c>
      <c r="F73" s="38">
        <v>70.569999999999993</v>
      </c>
      <c r="G73" s="38">
        <v>82.47</v>
      </c>
      <c r="H73" s="38">
        <v>52.64</v>
      </c>
    </row>
    <row r="74" spans="1:8" ht="14.5" x14ac:dyDescent="0.3">
      <c r="A74" s="54"/>
      <c r="B74" s="54"/>
      <c r="C74" s="33" t="s">
        <v>13</v>
      </c>
      <c r="D74" s="34">
        <v>61.72</v>
      </c>
      <c r="E74" s="34">
        <v>54.7</v>
      </c>
      <c r="F74" s="34">
        <v>69.64</v>
      </c>
      <c r="G74" s="34">
        <v>81.94</v>
      </c>
      <c r="H74" s="34">
        <v>7.16</v>
      </c>
    </row>
    <row r="75" spans="1:8" ht="14.5" x14ac:dyDescent="0.3">
      <c r="A75" s="54"/>
      <c r="B75" s="54"/>
      <c r="C75" s="33" t="s">
        <v>14</v>
      </c>
      <c r="D75" s="34">
        <v>61.49</v>
      </c>
      <c r="E75" s="34">
        <v>53.77</v>
      </c>
      <c r="F75" s="34">
        <v>70.33</v>
      </c>
      <c r="G75" s="34">
        <v>81.33</v>
      </c>
      <c r="H75" s="34">
        <v>233.65</v>
      </c>
    </row>
    <row r="76" spans="1:8" ht="14.5" x14ac:dyDescent="0.3">
      <c r="A76" s="54"/>
      <c r="B76" s="54"/>
      <c r="C76" s="33" t="s">
        <v>15</v>
      </c>
      <c r="D76" s="34">
        <v>68.61</v>
      </c>
      <c r="E76" s="34">
        <v>65.06</v>
      </c>
      <c r="F76" s="34">
        <v>72.37</v>
      </c>
      <c r="G76" s="34">
        <v>84.99</v>
      </c>
      <c r="H76" s="34">
        <v>6.56</v>
      </c>
    </row>
    <row r="77" spans="1:8" ht="14.5" x14ac:dyDescent="0.3">
      <c r="A77" s="54"/>
      <c r="B77" s="54"/>
      <c r="C77" s="33" t="s">
        <v>16</v>
      </c>
      <c r="D77" s="34">
        <v>68.2</v>
      </c>
      <c r="E77" s="34">
        <v>64.52</v>
      </c>
      <c r="F77" s="34">
        <v>72.099999999999994</v>
      </c>
      <c r="G77" s="34">
        <v>84.69</v>
      </c>
      <c r="H77" s="34">
        <v>6.18</v>
      </c>
    </row>
    <row r="78" spans="1:8" ht="14.5" x14ac:dyDescent="0.3">
      <c r="A78" s="54"/>
      <c r="B78" s="54"/>
      <c r="C78" s="33" t="s">
        <v>17</v>
      </c>
      <c r="D78" s="34">
        <v>69.25</v>
      </c>
      <c r="E78" s="34">
        <v>66.290000000000006</v>
      </c>
      <c r="F78" s="34">
        <v>72.33</v>
      </c>
      <c r="G78" s="34">
        <v>85.06</v>
      </c>
      <c r="H78" s="34">
        <v>59.8</v>
      </c>
    </row>
    <row r="79" spans="1:8" ht="14.5" x14ac:dyDescent="0.3">
      <c r="A79" s="54"/>
      <c r="B79" s="54"/>
      <c r="C79" s="33" t="s">
        <v>18</v>
      </c>
      <c r="D79" s="34">
        <v>62.7</v>
      </c>
      <c r="E79" s="34">
        <v>56.1</v>
      </c>
      <c r="F79" s="34">
        <v>70.069999999999993</v>
      </c>
      <c r="G79" s="34">
        <v>83.02</v>
      </c>
      <c r="H79" s="34">
        <v>15.53</v>
      </c>
    </row>
    <row r="80" spans="1:8" ht="14.5" x14ac:dyDescent="0.3">
      <c r="A80" s="54"/>
      <c r="B80" s="54"/>
      <c r="C80" s="33" t="s">
        <v>19</v>
      </c>
      <c r="D80" s="34">
        <v>67.98</v>
      </c>
      <c r="E80" s="34">
        <v>63.98</v>
      </c>
      <c r="F80" s="34">
        <v>72.22</v>
      </c>
      <c r="G80" s="34">
        <v>84.81</v>
      </c>
      <c r="H80" s="34"/>
    </row>
    <row r="81" spans="1:8" ht="14.5" x14ac:dyDescent="0.3">
      <c r="A81" s="54"/>
      <c r="B81" s="54"/>
      <c r="C81" s="33" t="s">
        <v>20</v>
      </c>
      <c r="D81" s="34">
        <v>68.11</v>
      </c>
      <c r="E81" s="34">
        <v>64.19</v>
      </c>
      <c r="F81" s="34">
        <v>72.27</v>
      </c>
      <c r="G81" s="34">
        <v>84.91</v>
      </c>
      <c r="H81" s="34"/>
    </row>
    <row r="82" spans="1:8" ht="15" thickBot="1" x14ac:dyDescent="0.35">
      <c r="A82" s="56"/>
      <c r="B82" s="56"/>
      <c r="C82" s="35" t="s">
        <v>21</v>
      </c>
      <c r="D82" s="36">
        <v>71.25</v>
      </c>
      <c r="E82" s="36">
        <v>70.16</v>
      </c>
      <c r="F82" s="36">
        <v>72.87</v>
      </c>
      <c r="G82" s="36">
        <v>85.83</v>
      </c>
      <c r="H82" s="36">
        <v>5.83</v>
      </c>
    </row>
  </sheetData>
  <mergeCells count="12">
    <mergeCell ref="A43:A62"/>
    <mergeCell ref="B43:B52"/>
    <mergeCell ref="B53:B62"/>
    <mergeCell ref="A63:A82"/>
    <mergeCell ref="B63:B72"/>
    <mergeCell ref="B73:B82"/>
    <mergeCell ref="A3:A22"/>
    <mergeCell ref="B3:B12"/>
    <mergeCell ref="B13:B22"/>
    <mergeCell ref="A23:A42"/>
    <mergeCell ref="B23:B32"/>
    <mergeCell ref="B33:B4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4</vt:i4>
      </vt:variant>
    </vt:vector>
  </HeadingPairs>
  <TitlesOfParts>
    <vt:vector size="6" baseType="lpstr">
      <vt:lpstr>Table V Detection Results</vt:lpstr>
      <vt:lpstr>Sheet1</vt:lpstr>
      <vt:lpstr>Sheet1!Print_Area</vt:lpstr>
      <vt:lpstr>'Table V Detection Results'!Print_Area</vt:lpstr>
      <vt:lpstr>Sheet1!Print_Titles</vt:lpstr>
      <vt:lpstr>'Table V Detection Results'!Print_Titles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明昊 陈</cp:lastModifiedBy>
  <cp:lastPrinted>2026-01-06T09:18:59Z</cp:lastPrinted>
  <dcterms:created xsi:type="dcterms:W3CDTF">2026-01-05T17:34:55Z</dcterms:created>
  <dcterms:modified xsi:type="dcterms:W3CDTF">2026-03-01T09:29:08Z</dcterms:modified>
</cp:coreProperties>
</file>